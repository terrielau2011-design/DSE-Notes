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說明" sheetId="1" state="visible" r:id="rId1"/>
    <sheet xmlns:r="http://schemas.openxmlformats.org/officeDocument/2006/relationships" name="主頁_Dashboard" sheetId="2" state="visible" r:id="rId2"/>
    <sheet xmlns:r="http://schemas.openxmlformats.org/officeDocument/2006/relationships" name="筆記生成器" sheetId="3" state="visible" r:id="rId3"/>
    <sheet xmlns:r="http://schemas.openxmlformats.org/officeDocument/2006/relationships" name="筆記_中史" sheetId="4" state="visible" r:id="rId4"/>
    <sheet xmlns:r="http://schemas.openxmlformats.org/officeDocument/2006/relationships" name="筆記_世史" sheetId="5" state="visible" r:id="rId5"/>
    <sheet xmlns:r="http://schemas.openxmlformats.org/officeDocument/2006/relationships" name="筆記_C&amp;SD" sheetId="6" state="visible" r:id="rId6"/>
    <sheet xmlns:r="http://schemas.openxmlformats.org/officeDocument/2006/relationships" name="操練_英文" sheetId="7" state="visible" r:id="rId7"/>
    <sheet xmlns:r="http://schemas.openxmlformats.org/officeDocument/2006/relationships" name="操練_數學" sheetId="8" state="visible" r:id="rId8"/>
    <sheet xmlns:r="http://schemas.openxmlformats.org/officeDocument/2006/relationships" name="操練_中文" sheetId="9" state="visible" r:id="rId9"/>
    <sheet xmlns:r="http://schemas.openxmlformats.org/officeDocument/2006/relationships" name="DSE題型分佈" sheetId="10" state="visible" r:id="rId10"/>
    <sheet xmlns:r="http://schemas.openxmlformats.org/officeDocument/2006/relationships" name="匯出筆記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1"/>
    </font>
    <font>
      <name val="Arial"/>
      <b val="1"/>
      <color rgb="00FFFFFF"/>
      <sz val="13"/>
    </font>
    <font>
      <name val="Arial"/>
      <b val="1"/>
      <sz val="11"/>
    </font>
    <font>
      <name val="Arial"/>
      <b val="1"/>
      <color rgb="00FFFFFF"/>
      <sz val="16"/>
    </font>
    <font>
      <name val="Arial"/>
      <i val="1"/>
      <color rgb="00666666"/>
      <sz val="10"/>
    </font>
    <font>
      <name val="Arial"/>
      <b val="1"/>
      <color rgb="001565C0"/>
      <sz val="12"/>
    </font>
    <font>
      <name val="Arial"/>
      <b val="1"/>
      <color rgb="00E65100"/>
      <sz val="11"/>
    </font>
    <font>
      <name val="Arial"/>
      <b val="1"/>
      <color rgb="00C0392B"/>
      <sz val="11"/>
    </font>
    <font>
      <name val="Arial"/>
      <b val="1"/>
      <color rgb="002980B9"/>
      <sz val="11"/>
    </font>
    <font>
      <name val="Arial"/>
      <b val="1"/>
      <color rgb="0027AE60"/>
      <sz val="11"/>
    </font>
    <font>
      <name val="Arial"/>
      <b val="1"/>
      <color rgb="008E44AD"/>
      <sz val="11"/>
    </font>
    <font>
      <name val="Arial"/>
      <b val="1"/>
      <color rgb="006A1B9A"/>
      <sz val="12"/>
    </font>
    <font>
      <name val="Arial"/>
      <b val="1"/>
      <color rgb="001B3A5C"/>
      <sz val="14"/>
    </font>
    <font>
      <name val="Arial"/>
      <i val="1"/>
      <color rgb="00999999"/>
      <sz val="9"/>
    </font>
    <font>
      <name val="Arial"/>
      <color rgb="00666666"/>
      <sz val="9"/>
    </font>
    <font>
      <name val="Arial"/>
      <color rgb="008B4513"/>
      <sz val="10"/>
    </font>
    <font>
      <name val="Arial"/>
      <color rgb="002E5090"/>
      <sz val="10"/>
    </font>
    <font>
      <name val="Arial"/>
      <b val="1"/>
      <color rgb="00FFFFFF"/>
      <sz val="12"/>
    </font>
    <font>
      <name val="Arial"/>
      <b val="1"/>
      <sz val="12"/>
    </font>
    <font>
      <name val="Arial"/>
      <sz val="12"/>
    </font>
    <font>
      <name val="Arial"/>
      <b val="1"/>
      <color rgb="001565C0"/>
      <sz val="11"/>
    </font>
    <font>
      <name val="Arial"/>
      <b val="1"/>
      <color rgb="002E7D32"/>
      <sz val="11"/>
    </font>
    <font>
      <name val="Arial"/>
      <b val="1"/>
      <color rgb="006A1B9A"/>
      <sz val="11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color rgb="00333333"/>
      <sz val="10"/>
    </font>
  </fonts>
  <fills count="2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8B4513"/>
      </patternFill>
    </fill>
    <fill>
      <patternFill patternType="solid">
        <fgColor rgb="002E5090"/>
      </patternFill>
    </fill>
    <fill>
      <patternFill patternType="solid">
        <fgColor rgb="004A4A4A"/>
      </patternFill>
    </fill>
    <fill>
      <patternFill patternType="solid">
        <fgColor rgb="00FFE0B2"/>
      </patternFill>
    </fill>
    <fill>
      <patternFill patternType="solid">
        <fgColor rgb="00E8F5E9"/>
      </patternFill>
    </fill>
    <fill>
      <patternFill patternType="solid">
        <fgColor rgb="002D5F2D"/>
      </patternFill>
    </fill>
    <fill>
      <patternFill patternType="solid">
        <fgColor rgb="002E7D32"/>
      </patternFill>
    </fill>
    <fill>
      <patternFill patternType="solid">
        <fgColor rgb="00FFFDE7"/>
      </patternFill>
    </fill>
    <fill>
      <patternFill patternType="solid">
        <fgColor rgb="001565C0"/>
      </patternFill>
    </fill>
    <fill>
      <patternFill patternType="solid">
        <fgColor rgb="00BBDEFB"/>
      </patternFill>
    </fill>
    <fill>
      <patternFill patternType="solid">
        <fgColor rgb="00E3F2FD"/>
      </patternFill>
    </fill>
    <fill>
      <patternFill patternType="solid">
        <fgColor rgb="00FFECB3"/>
      </patternFill>
    </fill>
    <fill>
      <patternFill patternType="solid">
        <fgColor rgb="006A1B9A"/>
      </patternFill>
    </fill>
    <fill>
      <patternFill patternType="solid">
        <fgColor rgb="00F3E5F5"/>
      </patternFill>
    </fill>
    <fill>
      <patternFill patternType="solid">
        <fgColor rgb="00E1BEE7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37474F"/>
      </patternFill>
    </fill>
    <fill>
      <patternFill patternType="solid">
        <fgColor rgb="00FFF8E1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3" fillId="1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11" borderId="1" applyAlignment="1" pivotButton="0" quotePrefix="0" xfId="0">
      <alignment horizontal="left" vertical="center"/>
    </xf>
    <xf numFmtId="0" fontId="0" fillId="11" borderId="1" pivotButton="0" quotePrefix="0" xfId="0"/>
    <xf numFmtId="0" fontId="4" fillId="0" borderId="1" applyAlignment="1" pivotButton="0" quotePrefix="0" xfId="0">
      <alignment vertical="center"/>
    </xf>
    <xf numFmtId="0" fontId="2" fillId="1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pivotButton="0" quotePrefix="0" xfId="0"/>
    <xf numFmtId="0" fontId="2" fillId="0" borderId="1" pivotButton="0" quotePrefix="0" xfId="0"/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9" borderId="1" pivotButton="0" quotePrefix="0" xfId="0"/>
    <xf numFmtId="0" fontId="0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horizontal="left" vertical="center"/>
    </xf>
    <xf numFmtId="0" fontId="0" fillId="13" borderId="1" pivotButton="0" quotePrefix="0" xfId="0"/>
    <xf numFmtId="0" fontId="7" fillId="14" borderId="1" pivotButton="0" quotePrefix="0" xfId="0"/>
    <xf numFmtId="0" fontId="4" fillId="15" borderId="1" pivotButton="0" quotePrefix="0" xfId="0"/>
    <xf numFmtId="0" fontId="8" fillId="16" borderId="1" pivotButton="0" quotePrefix="0" xfId="0"/>
    <xf numFmtId="0" fontId="6" fillId="12" borderId="1" applyAlignment="1" pivotButton="0" quotePrefix="0" xfId="0">
      <alignment vertical="top" wrapText="1"/>
    </xf>
    <xf numFmtId="0" fontId="3" fillId="17" borderId="1" applyAlignment="1" pivotButton="0" quotePrefix="0" xfId="0">
      <alignment horizontal="left" vertical="center"/>
    </xf>
    <xf numFmtId="0" fontId="0" fillId="17" borderId="1" pivotButton="0" quotePrefix="0" xfId="0"/>
    <xf numFmtId="0" fontId="4" fillId="0" borderId="1" pivotButton="0" quotePrefix="0" xfId="0"/>
    <xf numFmtId="0" fontId="9" fillId="18" borderId="1" pivotButton="0" quotePrefix="0" xfId="0"/>
    <xf numFmtId="0" fontId="10" fillId="18" borderId="1" pivotButton="0" quotePrefix="0" xfId="0"/>
    <xf numFmtId="0" fontId="11" fillId="18" borderId="1" pivotButton="0" quotePrefix="0" xfId="0"/>
    <xf numFmtId="0" fontId="12" fillId="18" borderId="1" pivotButton="0" quotePrefix="0" xfId="0"/>
    <xf numFmtId="0" fontId="13" fillId="19" borderId="1" pivotButton="0" quotePrefix="0" xfId="0"/>
    <xf numFmtId="0" fontId="9" fillId="20" borderId="1" pivotButton="0" quotePrefix="0" xfId="0"/>
    <xf numFmtId="0" fontId="10" fillId="14" borderId="1" pivotButton="0" quotePrefix="0" xfId="0"/>
    <xf numFmtId="0" fontId="11" fillId="21" borderId="1" pivotButton="0" quotePrefix="0" xfId="0"/>
    <xf numFmtId="0" fontId="12" fillId="19" borderId="1" pivotButton="0" quotePrefix="0" xfId="0"/>
    <xf numFmtId="0" fontId="3" fillId="22" borderId="1" applyAlignment="1" pivotButton="0" quotePrefix="0" xfId="0">
      <alignment horizontal="left" vertical="center"/>
    </xf>
    <xf numFmtId="0" fontId="0" fillId="22" borderId="1" pivotButton="0" quotePrefix="0" xfId="0"/>
    <xf numFmtId="0" fontId="8" fillId="8" borderId="1" pivotButton="0" quotePrefix="0" xfId="0"/>
    <xf numFmtId="0" fontId="4" fillId="23" borderId="1" pivotButton="0" quotePrefix="0" xfId="0"/>
    <xf numFmtId="0" fontId="3" fillId="24" borderId="1" applyAlignment="1" pivotButton="0" quotePrefix="0" xfId="0">
      <alignment horizontal="left" vertical="center"/>
    </xf>
    <xf numFmtId="0" fontId="0" fillId="24" borderId="1" pivotButton="0" quotePrefix="0" xfId="0"/>
    <xf numFmtId="0" fontId="14" fillId="25" borderId="6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6" fillId="2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vertical="top" wrapText="1"/>
    </xf>
    <xf numFmtId="0" fontId="16" fillId="4" borderId="1" applyAlignment="1" pivotButton="0" quotePrefix="0" xfId="0">
      <alignment vertical="top" wrapText="1"/>
    </xf>
    <xf numFmtId="0" fontId="1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5" borderId="6" pivotButton="0" quotePrefix="0" xfId="0"/>
    <xf numFmtId="0" fontId="3" fillId="2" borderId="1" applyAlignment="1" pivotButton="0" quotePrefix="0" xfId="0">
      <alignment horizontal="left" vertical="center"/>
    </xf>
    <xf numFmtId="0" fontId="17" fillId="3" borderId="1" pivotButton="0" quotePrefix="0" xfId="0"/>
    <xf numFmtId="0" fontId="18" fillId="4" borderId="1" pivotButton="0" quotePrefix="0" xfId="0"/>
    <xf numFmtId="0" fontId="0" fillId="0" borderId="9" pivotButton="0" quotePrefix="0" xfId="0"/>
    <xf numFmtId="0" fontId="0" fillId="0" borderId="10" pivotButton="0" quotePrefix="0" xfId="0"/>
    <xf numFmtId="0" fontId="19" fillId="11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19" fillId="11" borderId="1" pivotButton="0" quotePrefix="0" xfId="0"/>
    <xf numFmtId="0" fontId="20" fillId="0" borderId="1" applyAlignment="1" pivotButton="0" quotePrefix="0" xfId="0">
      <alignment vertical="center"/>
    </xf>
    <xf numFmtId="0" fontId="21" fillId="12" borderId="1" applyAlignment="1" pivotButton="0" quotePrefix="0" xfId="0">
      <alignment horizontal="center" vertical="center"/>
    </xf>
    <xf numFmtId="0" fontId="19" fillId="13" borderId="1" pivotButton="0" quotePrefix="0" xfId="0"/>
    <xf numFmtId="0" fontId="22" fillId="0" borderId="1" pivotButton="0" quotePrefix="0" xfId="0"/>
    <xf numFmtId="0" fontId="23" fillId="0" borderId="1" applyAlignment="1" pivotButton="0" quotePrefix="0" xfId="0">
      <alignment horizontal="center" vertical="center" wrapText="1"/>
    </xf>
    <xf numFmtId="0" fontId="19" fillId="17" borderId="1" pivotButton="0" quotePrefix="0" xfId="0"/>
    <xf numFmtId="0" fontId="24" fillId="0" borderId="1" pivotButton="0" quotePrefix="0" xfId="0"/>
    <xf numFmtId="0" fontId="25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19" fillId="22" borderId="1" pivotButton="0" quotePrefix="0" xfId="0"/>
    <xf numFmtId="0" fontId="2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5F2D"/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45" customWidth="1" min="3" max="3"/>
  </cols>
  <sheetData>
    <row r="1">
      <c r="A1" s="1" t="inlineStr">
        <is>
          <t>📖 DSE筆記系統 — 使用說明</t>
        </is>
      </c>
      <c r="B1" s="1" t="inlineStr"/>
      <c r="C1" s="1" t="inlineStr"/>
    </row>
    <row r="2">
      <c r="A2" s="2" t="inlineStr"/>
      <c r="B2" s="2" t="inlineStr"/>
      <c r="C2" s="2" t="inlineStr"/>
    </row>
    <row r="3">
      <c r="A3" s="1" t="inlineStr">
        <is>
          <t>一、系統介紹</t>
        </is>
      </c>
      <c r="B3" s="1" t="inlineStr"/>
      <c r="C3" s="1" t="inlineStr"/>
    </row>
    <row r="4">
      <c r="A4" s="2" t="inlineStr">
        <is>
          <t>這個筆記系統專為 DSE 備考設計，將科目分為兩大類：</t>
        </is>
      </c>
      <c r="B4" s="2" t="inlineStr"/>
      <c r="C4" s="2" t="inlineStr"/>
    </row>
    <row r="5">
      <c r="A5" s="3" t="inlineStr">
        <is>
          <t>📌 筆記类科目</t>
        </is>
      </c>
      <c r="B5" s="2" t="inlineStr">
        <is>
          <t>中史、世史、C&amp;SD</t>
        </is>
      </c>
      <c r="C5" s="2" t="inlineStr">
        <is>
          <t>以整理筆記、記憶為主，配合自測題目鞏固</t>
        </is>
      </c>
    </row>
    <row r="6">
      <c r="A6" s="3" t="inlineStr">
        <is>
          <t>📌 操練类科目</t>
        </is>
      </c>
      <c r="B6" s="2" t="inlineStr">
        <is>
          <t>英文、數學、中文</t>
        </is>
      </c>
      <c r="C6" s="2" t="inlineStr">
        <is>
          <t>以做題操練為主，記錄錯誤並針對性改善</t>
        </is>
      </c>
    </row>
    <row r="7">
      <c r="A7" s="2" t="inlineStr"/>
      <c r="B7" s="2" t="inlineStr"/>
      <c r="C7" s="2" t="inlineStr"/>
    </row>
    <row r="8">
      <c r="A8" s="1" t="inlineStr">
        <is>
          <t>二、各工作表用途</t>
        </is>
      </c>
      <c r="B8" s="1" t="inlineStr"/>
      <c r="C8" s="1" t="inlineStr"/>
    </row>
    <row r="9">
      <c r="A9" s="2" t="inlineStr">
        <is>
          <t>主頁_Dashboard</t>
        </is>
      </c>
      <c r="B9" s="2" t="inlineStr">
        <is>
          <t>總覽六科進度，一眼掌握整體溫習狀態</t>
        </is>
      </c>
      <c r="C9" s="2" t="inlineStr"/>
    </row>
    <row r="10">
      <c r="A10" s="2" t="inlineStr">
        <is>
          <t>筆記_中史/世史/C&amp;SD</t>
        </is>
      </c>
      <c r="B10" s="2" t="inlineStr">
        <is>
          <t>記錄課題筆記、標記DSE題型、自測鞏固</t>
        </is>
      </c>
      <c r="C10" s="2" t="inlineStr"/>
    </row>
    <row r="11">
      <c r="A11" s="2" t="inlineStr">
        <is>
          <t>操練_英文/數學/中文</t>
        </is>
      </c>
      <c r="B11" s="2" t="inlineStr">
        <is>
          <t>記錄每次操練的錯誤及改善行動</t>
        </is>
      </c>
      <c r="C11" s="2" t="inlineStr"/>
    </row>
    <row r="12">
      <c r="A12" s="1" t="inlineStr">
        <is>
          <t>DSE題型分佈</t>
        </is>
      </c>
      <c r="B12" s="1" t="inlineStr">
        <is>
          <t>統計各課題在DSE出題頻率，找出重點</t>
        </is>
      </c>
      <c r="C12" s="1" t="inlineStr"/>
    </row>
    <row r="13">
      <c r="A13" s="2" t="inlineStr"/>
      <c r="B13" s="2" t="inlineStr"/>
      <c r="C13" s="2" t="inlineStr"/>
    </row>
    <row r="14">
      <c r="A14" s="2" t="inlineStr">
        <is>
          <t>三、DSE題型標記說明</t>
        </is>
      </c>
      <c r="B14" s="2" t="inlineStr"/>
      <c r="C14" s="2" t="inlineStr"/>
    </row>
    <row r="15">
      <c r="A15" s="2" t="inlineStr">
        <is>
          <t>MC</t>
        </is>
      </c>
      <c r="B15" s="2" t="inlineStr">
        <is>
          <t>Multiple Choice 選擇題 — 4選1，佔分較少但數量多</t>
        </is>
      </c>
      <c r="C15" s="2" t="inlineStr"/>
    </row>
    <row r="16">
      <c r="A16" s="2" t="inlineStr">
        <is>
          <t>短答</t>
        </is>
      </c>
      <c r="B16" s="2" t="inlineStr">
        <is>
          <t>Short Question 短答題 — 要求簡要回答，2-4分為主</t>
        </is>
      </c>
      <c r="C16" s="2" t="inlineStr"/>
    </row>
    <row r="17">
      <c r="A17" s="1" t="inlineStr">
        <is>
          <t>DBQ</t>
        </is>
      </c>
      <c r="B17" s="1" t="inlineStr">
        <is>
          <t>Data-Based Question 資料題 — 根據提供的史料/數據作答，必考題型</t>
        </is>
      </c>
      <c r="C17" s="1" t="inlineStr"/>
    </row>
    <row r="18">
      <c r="A18" s="3" t="inlineStr">
        <is>
          <t>論述</t>
        </is>
      </c>
      <c r="B18" s="2" t="inlineStr">
        <is>
          <t>Essay 論述題 — 要求完整論證，分數最高，需有論點+論據+論證</t>
        </is>
      </c>
      <c r="C18" s="2" t="inlineStr"/>
    </row>
    <row r="19">
      <c r="A19" s="3" t="inlineStr"/>
      <c r="B19" s="2" t="inlineStr"/>
      <c r="C19" s="2" t="inlineStr"/>
    </row>
    <row r="20">
      <c r="A20" s="3" t="inlineStr">
        <is>
          <t>四、熟練度等級說明</t>
        </is>
      </c>
      <c r="B20" s="2" t="inlineStr"/>
      <c r="C20" s="2" t="inlineStr"/>
    </row>
    <row r="21">
      <c r="A21" s="3" t="inlineStr">
        <is>
          <t>1 — 完全不懂</t>
        </is>
      </c>
      <c r="B21" s="2" t="inlineStr">
        <is>
          <t>未接觸或完全不理解，需要從頭學起</t>
        </is>
      </c>
      <c r="C21" s="2" t="inlineStr"/>
    </row>
    <row r="22">
      <c r="A22" s="2" t="inlineStr">
        <is>
          <t>2 — 勉強理解</t>
        </is>
      </c>
      <c r="B22" s="2" t="inlineStr">
        <is>
          <t>有基本概念但無法獨立答題，需要反覆溫習</t>
        </is>
      </c>
      <c r="C22" s="2" t="inlineStr"/>
    </row>
    <row r="23">
      <c r="A23" s="1" t="inlineStr">
        <is>
          <t>3 — 基本掌握</t>
        </is>
      </c>
      <c r="B23" s="1" t="inlineStr">
        <is>
          <t>能答對基本題目，但深層分析題仍有困難</t>
        </is>
      </c>
      <c r="C23" s="1" t="inlineStr"/>
    </row>
    <row r="24">
      <c r="A24" s="3" t="inlineStr">
        <is>
          <t>4 — 熟練運用</t>
        </is>
      </c>
      <c r="B24" s="2" t="inlineStr">
        <is>
          <t>能獨立完成大部分題型，僅偶有失誤</t>
        </is>
      </c>
      <c r="C24" s="2" t="inlineStr"/>
    </row>
    <row r="25">
      <c r="A25" s="3" t="inlineStr">
        <is>
          <t>5 — 完全掌握</t>
        </is>
      </c>
      <c r="B25" s="2" t="inlineStr">
        <is>
          <t>能準確快速作答，可教導他人</t>
        </is>
      </c>
      <c r="C25" s="2" t="inlineStr"/>
    </row>
    <row r="26">
      <c r="A26" s="3" t="inlineStr"/>
      <c r="B26" s="2" t="inlineStr"/>
      <c r="C26" s="2" t="inlineStr"/>
    </row>
    <row r="27">
      <c r="A27" s="3" t="inlineStr">
        <is>
          <t>五、每日使用建議</t>
        </is>
      </c>
      <c r="B27" s="2" t="inlineStr"/>
      <c r="C27" s="2" t="inlineStr"/>
    </row>
    <row r="28">
      <c r="A28" s="3" t="inlineStr">
        <is>
          <t>Step 1</t>
        </is>
      </c>
      <c r="B28" s="2" t="inlineStr">
        <is>
          <t>打開主頁，查看各科進度和待做項目</t>
        </is>
      </c>
      <c r="C28" s="2" t="inlineStr"/>
    </row>
    <row r="29">
      <c r="A29" s="1" t="inlineStr">
        <is>
          <t>Step 2</t>
        </is>
      </c>
      <c r="B29" s="1" t="inlineStr">
        <is>
          <t>筆記类：選一個課題整理筆記 → 寫自測題 → 標記DSE題型</t>
        </is>
      </c>
      <c r="C29" s="1" t="inlineStr"/>
    </row>
    <row r="30">
      <c r="A30" s="3" t="inlineStr">
        <is>
          <t>Step 3</t>
        </is>
      </c>
      <c r="B30" s="2" t="inlineStr">
        <is>
          <t>操練类：做2-3題DSE/Past Paper → 記錄錯誤 → 寫改善行動</t>
        </is>
      </c>
      <c r="C30" s="2" t="inlineStr"/>
    </row>
    <row r="31">
      <c r="A31" s="3" t="inlineStr">
        <is>
          <t>Step 4</t>
        </is>
      </c>
      <c r="B31" s="2" t="inlineStr">
        <is>
          <t>每週覆檢：查看「已覆檢=否」的錯題，重新做一次</t>
        </is>
      </c>
      <c r="C31" s="2" t="inlineStr"/>
    </row>
    <row r="32">
      <c r="A32" s="3" t="inlineStr">
        <is>
          <t>Step 5</t>
        </is>
      </c>
      <c r="B32" s="2" t="inlineStr">
        <is>
          <t>更新主頁進度數字</t>
        </is>
      </c>
      <c r="C32" s="2" t="inlineStr"/>
    </row>
    <row r="33">
      <c r="A33" s="3" t="inlineStr"/>
      <c r="B33" s="2" t="inlineStr"/>
      <c r="C33" s="2" t="inlineStr"/>
    </row>
    <row r="34">
      <c r="A34" s="3" t="inlineStr">
        <is>
          <t>六、操練記錄填寫指引</t>
        </is>
      </c>
      <c r="B34" s="2" t="inlineStr"/>
      <c r="C34" s="2" t="inlineStr"/>
    </row>
    <row r="35">
      <c r="A35" s="1" t="inlineStr">
        <is>
          <t>✅ 做錯必記</t>
        </is>
      </c>
      <c r="B35" s="1" t="inlineStr">
        <is>
          <t>即使只差一點也記下來，覆檢時才知道要再看</t>
        </is>
      </c>
      <c r="C35" s="1" t="inlineStr"/>
    </row>
    <row r="36">
      <c r="A36" s="3" t="inlineStr">
        <is>
          <t>✅ 改善行動要具體</t>
        </is>
      </c>
      <c r="B36" s="2" t="inlineStr">
        <is>
          <t>不要寫「多練習」，要寫「練習找key words再推斷」</t>
        </is>
      </c>
      <c r="C36" s="2" t="inlineStr"/>
    </row>
    <row r="37">
      <c r="A37" s="3" t="inlineStr">
        <is>
          <t>✅ 定期覆檢</t>
        </is>
      </c>
      <c r="B37" s="2" t="inlineStr">
        <is>
          <t>每週六覆檢本週所有「已覆檢=否」的錯題</t>
        </is>
      </c>
      <c r="C37" s="2" t="inlineStr"/>
    </row>
    <row r="38">
      <c r="A38" s="3" t="inlineStr">
        <is>
          <t>✅ 標記DSE題型</t>
        </is>
      </c>
      <c r="B38" s="2" t="inlineStr">
        <is>
          <t>在筆記表標記後，到DSE題型分佈表更新統計</t>
        </is>
      </c>
      <c r="C38" s="2" t="inlineStr"/>
    </row>
    <row r="39">
      <c r="A39" s="3" t="inlineStr"/>
      <c r="B39" s="2" t="inlineStr"/>
      <c r="C39" s="2" t="inlineStr"/>
    </row>
    <row r="40">
      <c r="A40" s="3" t="inlineStr">
        <is>
          <t>七、溫習策略建議</t>
        </is>
      </c>
      <c r="B40" s="2" t="inlineStr"/>
      <c r="C40" s="2" t="inlineStr"/>
    </row>
    <row r="41">
      <c r="A41" s="3" t="inlineStr">
        <is>
          <t>筆記类科目</t>
        </is>
      </c>
      <c r="B41" s="2" t="inlineStr">
        <is>
          <t>先做筆記 → 寫自測題 → 背誦關鍵詞 → 做DSE題目</t>
        </is>
      </c>
      <c r="C41" s="2" t="inlineStr"/>
    </row>
    <row r="42">
      <c r="A42" s="2" t="inlineStr">
        <is>
          <t>操練类科目</t>
        </is>
      </c>
      <c r="B42" s="2" t="inlineStr">
        <is>
          <t>先做題目 → 記錄錯誤 → 查漏補缺 → 再做同類題目</t>
        </is>
      </c>
      <c r="C42" s="2" t="inlineStr"/>
    </row>
    <row r="43">
      <c r="A43" s="2" t="inlineStr">
        <is>
          <t>熟練度1-2的課題</t>
        </is>
      </c>
      <c r="B43" s="2" t="inlineStr">
        <is>
          <t>優先處理，每日花15-20分鐘溫習</t>
        </is>
      </c>
      <c r="C43" s="2" t="inlineStr"/>
    </row>
    <row r="44">
      <c r="A44" s="2" t="inlineStr">
        <is>
          <t>熟練度3的課題</t>
        </is>
      </c>
      <c r="B44" s="2" t="inlineStr">
        <is>
          <t>每週覆習一次，做1-2題DSE題目</t>
        </is>
      </c>
      <c r="C44" s="2" t="inlineStr"/>
    </row>
    <row r="45">
      <c r="A45" s="2" t="inlineStr">
        <is>
          <t>熟練度4-5的課題</t>
        </is>
      </c>
      <c r="B45" s="2" t="inlineStr">
        <is>
          <t>每月覆習一次即可，騰出時間給弱項</t>
        </is>
      </c>
      <c r="C4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20" customWidth="1" min="8" max="8"/>
    <col hidden="1" width="13" customWidth="1" min="12" max="12"/>
  </cols>
  <sheetData>
    <row r="1" ht="55" customHeight="1">
      <c r="A1" s="52">
        <f>INDEX(L2:L31,RANDBETWEEN(1,30))</f>
        <v/>
      </c>
      <c r="B1" s="64" t="n"/>
      <c r="C1" s="64" t="n"/>
      <c r="D1" s="64" t="n"/>
      <c r="E1" s="64" t="n"/>
      <c r="F1" s="64" t="n"/>
      <c r="G1" s="64" t="n"/>
      <c r="H1" s="65" t="n"/>
    </row>
    <row r="2" ht="2" customHeight="1">
      <c r="L2" t="inlineStr">
        <is>
          <t>💪 每多溫一頁，就多一分把握。唔急，慢慢嚟！</t>
        </is>
      </c>
    </row>
    <row r="3">
      <c r="A3" s="53" t="inlineStr">
        <is>
          <t>💬 每日鼓勵（每次打開自動隨機更新）</t>
        </is>
      </c>
      <c r="L3" t="inlineStr">
        <is>
          <t>🌟 今日嘅努力，係明日嘅底氣。堅持落去！</t>
        </is>
      </c>
    </row>
    <row r="4" ht="8" customHeight="1">
      <c r="L4" t="inlineStr">
        <is>
          <t>📚 DSE唔係短跑，係馬拉松。保持你嘅節奏！</t>
        </is>
      </c>
    </row>
    <row r="5">
      <c r="A5" s="61" t="inlineStr">
        <is>
          <t>📊 六科進度總覽</t>
        </is>
      </c>
      <c r="B5" s="20" t="n"/>
      <c r="C5" s="20" t="n"/>
      <c r="D5" s="20" t="n"/>
      <c r="E5" s="20" t="n"/>
      <c r="F5" s="20" t="n"/>
      <c r="G5" s="20" t="n"/>
      <c r="H5" s="21" t="n"/>
      <c r="L5" t="inlineStr">
        <is>
          <t>🔥 熟練度1不可怕，最怕你唔願意由1開始。</t>
        </is>
      </c>
    </row>
    <row r="6">
      <c r="A6" s="4" t="inlineStr">
        <is>
          <t>科目</t>
        </is>
      </c>
      <c r="B6" s="4" t="inlineStr">
        <is>
          <t>類別</t>
        </is>
      </c>
      <c r="C6" s="4" t="inlineStr">
        <is>
          <t>完成課題數</t>
        </is>
      </c>
      <c r="D6" s="4" t="inlineStr">
        <is>
          <t>總課題數</t>
        </is>
      </c>
      <c r="E6" s="4" t="inlineStr">
        <is>
          <t>完成率</t>
        </is>
      </c>
      <c r="F6" s="4" t="inlineStr">
        <is>
          <t>最近更新</t>
        </is>
      </c>
      <c r="G6" s="4" t="inlineStr">
        <is>
          <t>待做DSE題</t>
        </is>
      </c>
      <c r="H6" s="4" t="inlineStr">
        <is>
          <t>備註</t>
        </is>
      </c>
      <c r="L6" t="inlineStr">
        <is>
          <t>✨ 每做錯一題，就離做對近一步。錯題係你嘅朋友！</t>
        </is>
      </c>
    </row>
    <row r="7">
      <c r="A7" s="5" t="inlineStr">
        <is>
          <t>中史</t>
        </is>
      </c>
      <c r="B7" s="5" t="inlineStr">
        <is>
          <t>筆記类</t>
        </is>
      </c>
      <c r="C7" s="5" t="n">
        <v>3</v>
      </c>
      <c r="D7" s="5" t="n">
        <v>30</v>
      </c>
      <c r="E7" s="6">
        <f>C7/D7</f>
        <v/>
      </c>
      <c r="F7" s="5" t="inlineStr">
        <is>
          <t>2026/5/28</t>
        </is>
      </c>
      <c r="G7" s="5" t="n">
        <v>15</v>
      </c>
      <c r="H7" s="5" t="inlineStr"/>
      <c r="L7" t="inlineStr">
        <is>
          <t>🎯 專注當下，唔好諗仲有幾多未做，做好眼前呢一步。</t>
        </is>
      </c>
    </row>
    <row r="8">
      <c r="A8" s="5" t="inlineStr">
        <is>
          <t>世史</t>
        </is>
      </c>
      <c r="B8" s="5" t="inlineStr">
        <is>
          <t>筆記类</t>
        </is>
      </c>
      <c r="C8" s="5" t="n">
        <v>3</v>
      </c>
      <c r="D8" s="5" t="n">
        <v>25</v>
      </c>
      <c r="E8" s="6">
        <f>C8/D8</f>
        <v/>
      </c>
      <c r="F8" s="5" t="inlineStr">
        <is>
          <t>2026/5/28</t>
        </is>
      </c>
      <c r="G8" s="5" t="n">
        <v>12</v>
      </c>
      <c r="H8" s="5" t="inlineStr"/>
      <c r="L8" t="inlineStr">
        <is>
          <t>🌱 溫習唔需要完美，需要嘅係開始。坐低就已經贏咗一半！</t>
        </is>
      </c>
    </row>
    <row r="9">
      <c r="A9" s="5" t="inlineStr">
        <is>
          <t>C&amp;SD</t>
        </is>
      </c>
      <c r="B9" s="5" t="inlineStr">
        <is>
          <t>筆記类</t>
        </is>
      </c>
      <c r="C9" s="5" t="n">
        <v>3</v>
      </c>
      <c r="D9" s="5" t="n">
        <v>20</v>
      </c>
      <c r="E9" s="6">
        <f>C9/D9</f>
        <v/>
      </c>
      <c r="F9" s="5" t="inlineStr">
        <is>
          <t>2026/5/28</t>
        </is>
      </c>
      <c r="G9" s="5" t="n">
        <v>8</v>
      </c>
      <c r="H9" s="5" t="inlineStr"/>
      <c r="L9" t="inlineStr">
        <is>
          <t>⏰ 15分鐘都係時間，用咗就賺咗。唔好等「有時間」先開始。</t>
        </is>
      </c>
    </row>
    <row r="10">
      <c r="A10" s="7" t="inlineStr">
        <is>
          <t>英文</t>
        </is>
      </c>
      <c r="B10" s="7" t="inlineStr">
        <is>
          <t>操練类</t>
        </is>
      </c>
      <c r="C10" s="7" t="n">
        <v>2</v>
      </c>
      <c r="D10" s="7" t="n">
        <v>50</v>
      </c>
      <c r="E10" s="8">
        <f>C10/D10</f>
        <v/>
      </c>
      <c r="F10" s="7" t="inlineStr">
        <is>
          <t>2026/5/28</t>
        </is>
      </c>
      <c r="G10" s="7" t="n">
        <v>30</v>
      </c>
      <c r="H10" s="7" t="inlineStr"/>
      <c r="L10" t="inlineStr">
        <is>
          <t>🧠 背唔到？試下用PEEL寫出嚟，手寫記憶更深。</t>
        </is>
      </c>
    </row>
    <row r="11">
      <c r="A11" s="7" t="inlineStr">
        <is>
          <t>數學</t>
        </is>
      </c>
      <c r="B11" s="7" t="inlineStr">
        <is>
          <t>操練类</t>
        </is>
      </c>
      <c r="C11" s="7" t="n">
        <v>2</v>
      </c>
      <c r="D11" s="7" t="n">
        <v>40</v>
      </c>
      <c r="E11" s="8">
        <f>C11/D11</f>
        <v/>
      </c>
      <c r="F11" s="7" t="inlineStr">
        <is>
          <t>2026/5/28</t>
        </is>
      </c>
      <c r="G11" s="7" t="n">
        <v>25</v>
      </c>
      <c r="H11" s="7" t="inlineStr"/>
      <c r="L11" t="inlineStr">
        <is>
          <t>💡 唔識唔係問題，唔去搞清楚先係問題。翻開筆記睇下啦！</t>
        </is>
      </c>
    </row>
    <row r="12">
      <c r="A12" s="7" t="inlineStr">
        <is>
          <t>中文</t>
        </is>
      </c>
      <c r="B12" s="7" t="inlineStr">
        <is>
          <t>操練类</t>
        </is>
      </c>
      <c r="C12" s="7" t="n">
        <v>2</v>
      </c>
      <c r="D12" s="7" t="n">
        <v>45</v>
      </c>
      <c r="E12" s="8">
        <f>C12/D12</f>
        <v/>
      </c>
      <c r="F12" s="7" t="inlineStr">
        <is>
          <t>2026/5/28</t>
        </is>
      </c>
      <c r="G12" s="7" t="n">
        <v>20</v>
      </c>
      <c r="H12" s="7" t="inlineStr"/>
      <c r="L12" t="inlineStr">
        <is>
          <t>🚀 每日進步1%，一年後你就係365%嘅自己。</t>
        </is>
      </c>
    </row>
    <row r="13">
      <c r="L13" t="inlineStr">
        <is>
          <t>📖 打開書本嘅那一刻，你已經超越咗昨日的自己。</t>
        </is>
      </c>
    </row>
    <row r="14">
      <c r="A14" s="62" t="inlineStr">
        <is>
          <t>🟠 暖色 = 筆記类科目</t>
        </is>
      </c>
      <c r="B14" s="21" t="n"/>
      <c r="C14" s="63" t="inlineStr">
        <is>
          <t>🔵 冷色 = 操練类科目</t>
        </is>
      </c>
      <c r="D14" s="21" t="n"/>
      <c r="L14" t="inlineStr">
        <is>
          <t>🎨 筆記唔使靚，自己睇得明就夠。最重要係寫落嚟！</t>
        </is>
      </c>
    </row>
    <row r="15">
      <c r="L15" t="inlineStr">
        <is>
          <t>🏔️ 山唔怕高，最怕腳停。一步一步行，終會到頂。</t>
        </is>
      </c>
    </row>
    <row r="16">
      <c r="L16" t="inlineStr">
        <is>
          <t>🌊 溫習如逆水行舟，唔進則退。但休息都好重要㗎！</t>
        </is>
      </c>
    </row>
    <row r="17">
      <c r="L17" t="inlineStr">
        <is>
          <t>⭐ 你嘅努力唔會白費，DSE當日你就會感受到。</t>
        </is>
      </c>
    </row>
    <row r="18">
      <c r="L18" t="inlineStr">
        <is>
          <t>🎪 考試唔係考你識幾多，係考你溫咗幾多入腦。覆習啦！</t>
        </is>
      </c>
    </row>
    <row r="19">
      <c r="L19" t="inlineStr">
        <is>
          <t>🏠 補習老師教嘅，要自己再整理一次先係你嘅嘢。</t>
        </is>
      </c>
    </row>
    <row r="20">
      <c r="L20" t="inlineStr">
        <is>
          <t>🦋 改變唔係一朝一夕，但每日做少少，蝴蝶效應會出現。</t>
        </is>
      </c>
    </row>
    <row r="21">
      <c r="L21" t="inlineStr">
        <is>
          <t>🎲 做錯MC？記落操練表！覆檢嗰陣你會感激今日嘅自己。</t>
        </is>
      </c>
    </row>
    <row r="22">
      <c r="L22" t="inlineStr">
        <is>
          <t>🔑 記住：熟練度1→2→3→4→5，每升一級你都強咗。</t>
        </is>
      </c>
    </row>
    <row r="23">
      <c r="L23" t="inlineStr">
        <is>
          <t>🌍 歷史係故事，唔係死記硬背。用「原因-過程-影響」去理解！</t>
        </is>
      </c>
    </row>
    <row r="24">
      <c r="L24" t="inlineStr">
        <is>
          <t>✏️ 寫作唔夠分？每段用PEEL，結構即刻清晰。</t>
        </is>
      </c>
    </row>
    <row r="25">
      <c r="L25" t="inlineStr">
        <is>
          <t>🎯 數學最弱？每日做2題，積少成多，手感會嚟嘅。</t>
        </is>
      </c>
    </row>
    <row r="26">
      <c r="L26" t="inlineStr">
        <is>
          <t>🌈 低潮期人人都有，重點係唔好停。就算慢，都係前進。</t>
        </is>
      </c>
    </row>
    <row r="27">
      <c r="L27" t="inlineStr">
        <is>
          <t>💪 今天的你比昨天多溫了一課，已經在進步了！</t>
        </is>
      </c>
    </row>
    <row r="28">
      <c r="L28" t="inlineStr">
        <is>
          <t>🧩 每一個課題都係拼圖的一塊，遲早會砌出完整畫面。</t>
        </is>
      </c>
    </row>
    <row r="29">
      <c r="L29" t="inlineStr">
        <is>
          <t>🌟 信自己，你願意坐低溫書呢件事本身，已經好叻。</t>
        </is>
      </c>
    </row>
    <row r="30">
      <c r="L30" t="inlineStr">
        <is>
          <t>📈 成績唔係一日升嘅，但每日做，一定會升。Keep going！</t>
        </is>
      </c>
    </row>
    <row r="31">
      <c r="L31" t="inlineStr">
        <is>
          <t>🎪 考DSE嗰日，你會感激現在每一個坐低溫書嘅自己。</t>
        </is>
      </c>
    </row>
  </sheetData>
  <mergeCells count="5">
    <mergeCell ref="A1:H1"/>
    <mergeCell ref="A3:H3"/>
    <mergeCell ref="C14:D14"/>
    <mergeCell ref="A14:B14"/>
    <mergeCell ref="A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</cols>
  <sheetData>
    <row r="1">
      <c r="A1" s="14" t="inlineStr">
        <is>
          <t>📝 筆記生成器 — 輸入事件資料，選擇格式，即生成筆記模板</t>
        </is>
      </c>
      <c r="B1" s="20" t="n"/>
      <c r="C1" s="20" t="n"/>
      <c r="D1" s="20" t="n"/>
      <c r="E1" s="20" t="n"/>
      <c r="F1" s="20" t="n"/>
      <c r="G1" s="20" t="n"/>
      <c r="H1" s="21" t="n"/>
    </row>
    <row r="3">
      <c r="A3" s="16" t="inlineStr">
        <is>
          <t>⬇️ 第一步：輸入事件資料</t>
        </is>
      </c>
      <c r="B3" s="20" t="n"/>
      <c r="C3" s="20" t="n"/>
      <c r="D3" s="20" t="n"/>
      <c r="E3" s="20" t="n"/>
      <c r="F3" s="20" t="n"/>
      <c r="G3" s="20" t="n"/>
      <c r="H3" s="21" t="n"/>
    </row>
    <row r="4">
      <c r="A4" s="18" t="inlineStr">
        <is>
          <t>科目：</t>
        </is>
      </c>
      <c r="B4" s="19" t="n"/>
      <c r="C4" s="18" t="inlineStr">
        <is>
          <t>事件/課題標題：</t>
        </is>
      </c>
      <c r="D4" s="19" t="n"/>
      <c r="E4" s="20" t="n"/>
      <c r="F4" s="20" t="n"/>
      <c r="G4" s="20" t="n"/>
      <c r="H4" s="21" t="n"/>
    </row>
    <row r="5">
      <c r="A5" s="18" t="inlineStr">
        <is>
          <t>時間/朝代：</t>
        </is>
      </c>
      <c r="B5" s="19" t="n"/>
      <c r="C5" s="18" t="inlineStr">
        <is>
          <t>相關人物：</t>
        </is>
      </c>
      <c r="D5" s="19" t="n"/>
      <c r="E5" s="20" t="n"/>
      <c r="F5" s="20" t="n"/>
      <c r="G5" s="20" t="n"/>
      <c r="H5" s="21" t="n"/>
    </row>
    <row r="6">
      <c r="A6" s="18" t="inlineStr">
        <is>
          <t>地區/國家：</t>
        </is>
      </c>
      <c r="B6" s="19" t="n"/>
      <c r="C6" s="18" t="inlineStr">
        <is>
          <t>筆記格式：</t>
        </is>
      </c>
      <c r="D6" s="19" t="n"/>
      <c r="E6" s="20" t="n"/>
      <c r="F6" s="20" t="n"/>
      <c r="G6" s="20" t="n"/>
      <c r="H6" s="21" t="n"/>
    </row>
    <row r="7">
      <c r="A7" s="22" t="inlineStr">
        <is>
          <t>💡 提示：在黃色格子填入資料，然後根據你選擇的格式，到下方對應的模板區域填寫筆記內容</t>
        </is>
      </c>
      <c r="B7" s="20" t="n"/>
      <c r="C7" s="20" t="n"/>
      <c r="D7" s="20" t="n"/>
      <c r="E7" s="20" t="n"/>
      <c r="F7" s="20" t="n"/>
      <c r="G7" s="20" t="n"/>
      <c r="H7" s="21" t="n"/>
    </row>
    <row r="9">
      <c r="A9" s="16" t="inlineStr">
        <is>
          <t>① 事實描述型筆記模板</t>
        </is>
      </c>
      <c r="B9" s="20" t="n"/>
      <c r="C9" s="20" t="n"/>
      <c r="D9" s="20" t="n"/>
      <c r="E9" s="20" t="n"/>
      <c r="F9" s="20" t="n"/>
      <c r="G9" s="20" t="n"/>
      <c r="H9" s="21" t="n"/>
    </row>
    <row r="10">
      <c r="A10" s="22" t="inlineStr">
        <is>
          <t>適用於：描述一個事件的背景、經過和基本事實 | 適合中史的制度描述、世史的戰爭經過、C&amp;SD的概念解釋</t>
        </is>
      </c>
      <c r="B10" s="20" t="n"/>
      <c r="C10" s="20" t="n"/>
      <c r="D10" s="20" t="n"/>
      <c r="E10" s="20" t="n"/>
      <c r="F10" s="20" t="n"/>
      <c r="G10" s="20" t="n"/>
      <c r="H10" s="21" t="n"/>
    </row>
    <row r="11">
      <c r="A11" s="23" t="inlineStr">
        <is>
          <t>事件標題</t>
        </is>
      </c>
      <c r="B11" s="19">
        <f>D4</f>
        <v/>
      </c>
      <c r="C11" s="20" t="n"/>
      <c r="D11" s="20" t="n"/>
      <c r="E11" s="20" t="n"/>
      <c r="F11" s="21" t="n"/>
      <c r="G11" s="24" t="inlineStr">
        <is>
          <t>自動填入上方輸入的事件標題</t>
        </is>
      </c>
      <c r="H11" s="21" t="n"/>
    </row>
    <row r="12">
      <c r="A12" s="23" t="inlineStr">
        <is>
          <t>時間/朝代</t>
        </is>
      </c>
      <c r="B12" s="19">
        <f>B5</f>
        <v/>
      </c>
      <c r="C12" s="20" t="n"/>
      <c r="D12" s="20" t="n"/>
      <c r="E12" s="20" t="n"/>
      <c r="F12" s="21" t="n"/>
      <c r="G12" s="24" t="inlineStr">
        <is>
          <t>自動填入上方輸入的時間</t>
        </is>
      </c>
      <c r="H12" s="21" t="n"/>
    </row>
    <row r="13">
      <c r="A13" s="23" t="inlineStr"/>
      <c r="B13" s="25" t="n"/>
      <c r="C13" s="20" t="n"/>
      <c r="D13" s="20" t="n"/>
      <c r="E13" s="20" t="n"/>
      <c r="F13" s="21" t="n"/>
    </row>
    <row r="14">
      <c r="A14" s="26" t="inlineStr">
        <is>
          <t>【背景描述】</t>
        </is>
      </c>
      <c r="B14" s="25" t="n"/>
      <c r="C14" s="20" t="n"/>
      <c r="D14" s="20" t="n"/>
      <c r="E14" s="20" t="n"/>
      <c r="F14" s="21" t="n"/>
      <c r="G14" s="24" t="inlineStr">
        <is>
          <t>這個事件發生之前是什麼狀況？有什麼前置條件？</t>
        </is>
      </c>
      <c r="H14" s="21" t="n"/>
    </row>
    <row r="15">
      <c r="A15" s="23" t="inlineStr">
        <is>
          <t>背景要點1</t>
        </is>
      </c>
      <c r="B15" s="27" t="n"/>
      <c r="C15" s="20" t="n"/>
      <c r="D15" s="20" t="n"/>
      <c r="E15" s="20" t="n"/>
      <c r="F15" s="21" t="n"/>
    </row>
    <row r="16">
      <c r="A16" s="23" t="inlineStr">
        <is>
          <t>背景要點2</t>
        </is>
      </c>
      <c r="B16" s="27" t="n"/>
      <c r="C16" s="20" t="n"/>
      <c r="D16" s="20" t="n"/>
      <c r="E16" s="20" t="n"/>
      <c r="F16" s="21" t="n"/>
    </row>
    <row r="17">
      <c r="A17" s="23" t="inlineStr">
        <is>
          <t>背景要點3</t>
        </is>
      </c>
      <c r="B17" s="27" t="n"/>
      <c r="C17" s="20" t="n"/>
      <c r="D17" s="20" t="n"/>
      <c r="E17" s="20" t="n"/>
      <c r="F17" s="21" t="n"/>
    </row>
    <row r="18">
      <c r="A18" s="23" t="inlineStr"/>
      <c r="B18" s="25" t="n"/>
      <c r="C18" s="20" t="n"/>
      <c r="D18" s="20" t="n"/>
      <c r="E18" s="20" t="n"/>
      <c r="F18" s="21" t="n"/>
    </row>
    <row r="19">
      <c r="A19" s="26" t="inlineStr">
        <is>
          <t>【事實經過】</t>
        </is>
      </c>
      <c r="B19" s="25" t="n"/>
      <c r="C19" s="20" t="n"/>
      <c r="D19" s="20" t="n"/>
      <c r="E19" s="20" t="n"/>
      <c r="F19" s="21" t="n"/>
      <c r="G19" s="24" t="inlineStr">
        <is>
          <t>按時間順序描述事件的主要經過</t>
        </is>
      </c>
      <c r="H19" s="21" t="n"/>
    </row>
    <row r="20">
      <c r="A20" s="23" t="inlineStr">
        <is>
          <t>階段一：起因</t>
        </is>
      </c>
      <c r="B20" s="27" t="n"/>
      <c r="C20" s="20" t="n"/>
      <c r="D20" s="20" t="n"/>
      <c r="E20" s="20" t="n"/>
      <c r="F20" s="21" t="n"/>
      <c r="G20" s="24" t="inlineStr">
        <is>
          <t>事件是怎樣開始的？導火線是什麼？</t>
        </is>
      </c>
      <c r="H20" s="21" t="n"/>
    </row>
    <row r="21">
      <c r="A21" s="23" t="inlineStr">
        <is>
          <t>階段二：發展</t>
        </is>
      </c>
      <c r="B21" s="27" t="n"/>
      <c r="C21" s="20" t="n"/>
      <c r="D21" s="20" t="n"/>
      <c r="E21" s="20" t="n"/>
      <c r="F21" s="21" t="n"/>
      <c r="G21" s="24" t="inlineStr">
        <is>
          <t>事件如何演變？關鍵轉折點是什麼？</t>
        </is>
      </c>
      <c r="H21" s="21" t="n"/>
    </row>
    <row r="22">
      <c r="A22" s="23" t="inlineStr">
        <is>
          <t>階段三：結果</t>
        </is>
      </c>
      <c r="B22" s="27" t="n"/>
      <c r="C22" s="20" t="n"/>
      <c r="D22" s="20" t="n"/>
      <c r="E22" s="20" t="n"/>
      <c r="F22" s="21" t="n"/>
      <c r="G22" s="24" t="inlineStr">
        <is>
          <t>事件最終如何結束？即時結果是什麼？</t>
        </is>
      </c>
      <c r="H22" s="21" t="n"/>
    </row>
    <row r="23">
      <c r="A23" s="23" t="inlineStr"/>
      <c r="B23" s="25" t="n"/>
      <c r="C23" s="20" t="n"/>
      <c r="D23" s="20" t="n"/>
      <c r="E23" s="20" t="n"/>
      <c r="F23" s="21" t="n"/>
    </row>
    <row r="24">
      <c r="A24" s="26" t="inlineStr">
        <is>
          <t>【關鍵細節】</t>
        </is>
      </c>
      <c r="B24" s="25" t="n"/>
      <c r="C24" s="20" t="n"/>
      <c r="D24" s="20" t="n"/>
      <c r="E24" s="20" t="n"/>
      <c r="F24" s="21" t="n"/>
      <c r="G24" s="24" t="inlineStr">
        <is>
          <t>重要的數字、條約名稱、具體措施等</t>
        </is>
      </c>
      <c r="H24" s="21" t="n"/>
    </row>
    <row r="25">
      <c r="A25" s="23" t="inlineStr">
        <is>
          <t>數據/數字</t>
        </is>
      </c>
      <c r="B25" s="27" t="n"/>
      <c r="C25" s="20" t="n"/>
      <c r="D25" s="20" t="n"/>
      <c r="E25" s="20" t="n"/>
      <c r="F25" s="21" t="n"/>
      <c r="G25" s="24" t="inlineStr">
        <is>
          <t>如：年份、人數、面積等</t>
        </is>
      </c>
      <c r="H25" s="21" t="n"/>
    </row>
    <row r="26">
      <c r="A26" s="23" t="inlineStr">
        <is>
          <t>重要條約/制度</t>
        </is>
      </c>
      <c r="B26" s="27" t="n"/>
      <c r="C26" s="20" t="n"/>
      <c r="D26" s="20" t="n"/>
      <c r="E26" s="20" t="n"/>
      <c r="F26" s="21" t="n"/>
      <c r="G26" s="24" t="inlineStr">
        <is>
          <t>如：條約名、法律名、制度名</t>
        </is>
      </c>
      <c r="H26" s="21" t="n"/>
    </row>
    <row r="27">
      <c r="A27" s="23" t="inlineStr">
        <is>
          <t>重要引言</t>
        </is>
      </c>
      <c r="B27" s="27" t="n"/>
      <c r="C27" s="20" t="n"/>
      <c r="D27" s="20" t="n"/>
      <c r="E27" s="20" t="n"/>
      <c r="F27" s="21" t="n"/>
      <c r="G27" s="24" t="inlineStr">
        <is>
          <t>如：人物說過的關鍵語句</t>
        </is>
      </c>
      <c r="H27" s="21" t="n"/>
    </row>
    <row r="28">
      <c r="A28" s="23" t="inlineStr"/>
      <c r="B28" s="25" t="n"/>
      <c r="C28" s="20" t="n"/>
      <c r="D28" s="20" t="n"/>
      <c r="E28" s="20" t="n"/>
      <c r="F28" s="21" t="n"/>
    </row>
    <row r="29">
      <c r="A29" s="26" t="inlineStr">
        <is>
          <t>【即時影響】</t>
        </is>
      </c>
      <c r="B29" s="25" t="n"/>
      <c r="C29" s="20" t="n"/>
      <c r="D29" s="20" t="n"/>
      <c r="E29" s="20" t="n"/>
      <c r="F29" s="21" t="n"/>
      <c r="G29" s="24" t="inlineStr">
        <is>
          <t>事件對當時的直接影響</t>
        </is>
      </c>
      <c r="H29" s="21" t="n"/>
    </row>
    <row r="30">
      <c r="A30" s="23" t="inlineStr">
        <is>
          <t>影響1</t>
        </is>
      </c>
      <c r="B30" s="27" t="n"/>
      <c r="C30" s="20" t="n"/>
      <c r="D30" s="20" t="n"/>
      <c r="E30" s="20" t="n"/>
      <c r="F30" s="21" t="n"/>
    </row>
    <row r="31">
      <c r="A31" s="23" t="inlineStr">
        <is>
          <t>影響2</t>
        </is>
      </c>
      <c r="B31" s="27" t="n"/>
      <c r="C31" s="20" t="n"/>
      <c r="D31" s="20" t="n"/>
      <c r="E31" s="20" t="n"/>
      <c r="F31" s="21" t="n"/>
    </row>
    <row r="32">
      <c r="A32" s="23" t="inlineStr">
        <is>
          <t>影響3</t>
        </is>
      </c>
      <c r="B32" s="27" t="n"/>
      <c r="C32" s="20" t="n"/>
      <c r="D32" s="20" t="n"/>
      <c r="E32" s="20" t="n"/>
      <c r="F32" s="21" t="n"/>
    </row>
    <row r="35">
      <c r="A35" s="28" t="inlineStr">
        <is>
          <t>② 事件人物-原因過程影響型筆記模板</t>
        </is>
      </c>
      <c r="B35" s="20" t="n"/>
      <c r="C35" s="20" t="n"/>
      <c r="D35" s="20" t="n"/>
      <c r="E35" s="20" t="n"/>
      <c r="F35" s="20" t="n"/>
      <c r="G35" s="20" t="n"/>
      <c r="H35" s="21" t="n"/>
    </row>
    <row r="36">
      <c r="A36" s="22" t="inlineStr">
        <is>
          <t>適用於：分析一個歷史事件的前因後果 | 最適合DSE DBQ和論述題的溫習方式</t>
        </is>
      </c>
      <c r="B36" s="20" t="n"/>
      <c r="C36" s="20" t="n"/>
      <c r="D36" s="20" t="n"/>
      <c r="E36" s="20" t="n"/>
      <c r="F36" s="20" t="n"/>
      <c r="G36" s="20" t="n"/>
      <c r="H36" s="21" t="n"/>
    </row>
    <row r="37">
      <c r="A37" s="23" t="inlineStr">
        <is>
          <t>事件標題</t>
        </is>
      </c>
      <c r="B37" s="19">
        <f>D4</f>
        <v/>
      </c>
      <c r="C37" s="20" t="n"/>
      <c r="D37" s="20" t="n"/>
      <c r="E37" s="20" t="n"/>
      <c r="F37" s="21" t="n"/>
    </row>
    <row r="38">
      <c r="A38" s="23" t="inlineStr">
        <is>
          <t>時間/朝代</t>
        </is>
      </c>
      <c r="B38" s="19">
        <f>B5</f>
        <v/>
      </c>
      <c r="C38" s="20" t="n"/>
      <c r="D38" s="20" t="n"/>
      <c r="E38" s="20" t="n"/>
      <c r="F38" s="21" t="n"/>
    </row>
    <row r="39">
      <c r="A39" s="23" t="inlineStr">
        <is>
          <t>相關人物</t>
        </is>
      </c>
      <c r="B39" s="19">
        <f>D5</f>
        <v/>
      </c>
      <c r="C39" s="20" t="n"/>
      <c r="D39" s="20" t="n"/>
      <c r="E39" s="20" t="n"/>
      <c r="F39" s="21" t="n"/>
    </row>
    <row r="40">
      <c r="A40" s="23" t="inlineStr"/>
      <c r="B40" s="25" t="n"/>
      <c r="C40" s="20" t="n"/>
      <c r="D40" s="20" t="n"/>
      <c r="E40" s="20" t="n"/>
      <c r="F40" s="21" t="n"/>
    </row>
    <row r="41">
      <c r="A41" s="30" t="inlineStr">
        <is>
          <t>═══ 原因分析 ═══</t>
        </is>
      </c>
      <c r="B41" s="25" t="n"/>
      <c r="C41" s="20" t="n"/>
      <c r="D41" s="20" t="n"/>
      <c r="E41" s="20" t="n"/>
      <c r="F41" s="21" t="n"/>
      <c r="G41" s="24" t="inlineStr">
        <is>
          <t>為什麼會發生？從多角度分析原因</t>
        </is>
      </c>
      <c r="H41" s="21" t="n"/>
    </row>
    <row r="42">
      <c r="A42" s="23" t="inlineStr"/>
      <c r="B42" s="25" t="n"/>
      <c r="C42" s="20" t="n"/>
      <c r="D42" s="20" t="n"/>
      <c r="E42" s="20" t="n"/>
      <c r="F42" s="21" t="n"/>
    </row>
    <row r="43">
      <c r="A43" s="31" t="inlineStr">
        <is>
          <t>【政治原因】</t>
        </is>
      </c>
      <c r="B43" s="25" t="n"/>
      <c r="C43" s="20" t="n"/>
      <c r="D43" s="20" t="n"/>
      <c r="E43" s="20" t="n"/>
      <c r="F43" s="21" t="n"/>
      <c r="G43" s="24" t="inlineStr">
        <is>
          <t>政治制度、權力鬥爭、政策失誤等</t>
        </is>
      </c>
      <c r="H43" s="21" t="n"/>
    </row>
    <row r="44">
      <c r="A44" s="23" t="inlineStr">
        <is>
          <t>具體原因</t>
        </is>
      </c>
      <c r="B44" s="27" t="n"/>
      <c r="C44" s="20" t="n"/>
      <c r="D44" s="20" t="n"/>
      <c r="E44" s="20" t="n"/>
      <c r="F44" s="21" t="n"/>
    </row>
    <row r="45">
      <c r="A45" s="23" t="inlineStr">
        <is>
          <t>具體原因</t>
        </is>
      </c>
      <c r="B45" s="27" t="n"/>
      <c r="C45" s="20" t="n"/>
      <c r="D45" s="20" t="n"/>
      <c r="E45" s="20" t="n"/>
      <c r="F45" s="21" t="n"/>
    </row>
    <row r="46">
      <c r="A46" s="23" t="inlineStr"/>
      <c r="B46" s="25" t="n"/>
      <c r="C46" s="20" t="n"/>
      <c r="D46" s="20" t="n"/>
      <c r="E46" s="20" t="n"/>
      <c r="F46" s="21" t="n"/>
    </row>
    <row r="47">
      <c r="A47" s="31" t="inlineStr">
        <is>
          <t>【經濟原因】</t>
        </is>
      </c>
      <c r="B47" s="25" t="n"/>
      <c r="C47" s="20" t="n"/>
      <c r="D47" s="20" t="n"/>
      <c r="E47" s="20" t="n"/>
      <c r="F47" s="21" t="n"/>
      <c r="G47" s="24" t="inlineStr">
        <is>
          <t>經濟危機、資源爭奪、貧富懸殊等</t>
        </is>
      </c>
      <c r="H47" s="21" t="n"/>
    </row>
    <row r="48">
      <c r="A48" s="23" t="inlineStr">
        <is>
          <t>具體原因</t>
        </is>
      </c>
      <c r="B48" s="27" t="n"/>
      <c r="C48" s="20" t="n"/>
      <c r="D48" s="20" t="n"/>
      <c r="E48" s="20" t="n"/>
      <c r="F48" s="21" t="n"/>
    </row>
    <row r="49">
      <c r="A49" s="23" t="inlineStr">
        <is>
          <t>具體原因</t>
        </is>
      </c>
      <c r="B49" s="27" t="n"/>
      <c r="C49" s="20" t="n"/>
      <c r="D49" s="20" t="n"/>
      <c r="E49" s="20" t="n"/>
      <c r="F49" s="21" t="n"/>
    </row>
    <row r="50">
      <c r="A50" s="23" t="inlineStr"/>
      <c r="B50" s="25" t="n"/>
      <c r="C50" s="20" t="n"/>
      <c r="D50" s="20" t="n"/>
      <c r="E50" s="20" t="n"/>
      <c r="F50" s="21" t="n"/>
    </row>
    <row r="51">
      <c r="A51" s="31" t="inlineStr">
        <is>
          <t>【社會/文化原因】</t>
        </is>
      </c>
      <c r="B51" s="25" t="n"/>
      <c r="C51" s="20" t="n"/>
      <c r="D51" s="20" t="n"/>
      <c r="E51" s="20" t="n"/>
      <c r="F51" s="21" t="n"/>
      <c r="G51" s="24" t="inlineStr">
        <is>
          <t>社會矛盾、文化衝突、民族問題等</t>
        </is>
      </c>
      <c r="H51" s="21" t="n"/>
    </row>
    <row r="52">
      <c r="A52" s="23" t="inlineStr">
        <is>
          <t>具體原因</t>
        </is>
      </c>
      <c r="B52" s="27" t="n"/>
      <c r="C52" s="20" t="n"/>
      <c r="D52" s="20" t="n"/>
      <c r="E52" s="20" t="n"/>
      <c r="F52" s="21" t="n"/>
    </row>
    <row r="53">
      <c r="A53" s="23" t="inlineStr">
        <is>
          <t>具體原因</t>
        </is>
      </c>
      <c r="B53" s="27" t="n"/>
      <c r="C53" s="20" t="n"/>
      <c r="D53" s="20" t="n"/>
      <c r="E53" s="20" t="n"/>
      <c r="F53" s="21" t="n"/>
    </row>
    <row r="54">
      <c r="A54" s="23" t="inlineStr"/>
      <c r="B54" s="25" t="n"/>
      <c r="C54" s="20" t="n"/>
      <c r="D54" s="20" t="n"/>
      <c r="E54" s="20" t="n"/>
      <c r="F54" s="21" t="n"/>
    </row>
    <row r="55">
      <c r="A55" s="31" t="inlineStr">
        <is>
          <t>【外部/國際原因】</t>
        </is>
      </c>
      <c r="B55" s="25" t="n"/>
      <c r="C55" s="20" t="n"/>
      <c r="D55" s="20" t="n"/>
      <c r="E55" s="20" t="n"/>
      <c r="F55" s="21" t="n"/>
      <c r="G55" s="24" t="inlineStr">
        <is>
          <t>外國干涉、國際局勢、地緣政治等</t>
        </is>
      </c>
      <c r="H55" s="21" t="n"/>
    </row>
    <row r="56">
      <c r="A56" s="23" t="inlineStr">
        <is>
          <t>具體原因</t>
        </is>
      </c>
      <c r="B56" s="27" t="n"/>
      <c r="C56" s="20" t="n"/>
      <c r="D56" s="20" t="n"/>
      <c r="E56" s="20" t="n"/>
      <c r="F56" s="21" t="n"/>
    </row>
    <row r="57">
      <c r="A57" s="23" t="inlineStr">
        <is>
          <t>具體原因</t>
        </is>
      </c>
      <c r="B57" s="27" t="n"/>
      <c r="C57" s="20" t="n"/>
      <c r="D57" s="20" t="n"/>
      <c r="E57" s="20" t="n"/>
      <c r="F57" s="21" t="n"/>
    </row>
    <row r="58">
      <c r="A58" s="23" t="inlineStr"/>
      <c r="B58" s="25" t="n"/>
      <c r="C58" s="20" t="n"/>
      <c r="D58" s="20" t="n"/>
      <c r="E58" s="20" t="n"/>
      <c r="F58" s="21" t="n"/>
    </row>
    <row r="59">
      <c r="A59" s="32" t="inlineStr">
        <is>
          <t>🔑 最關鍵原因</t>
        </is>
      </c>
      <c r="B59" s="25" t="n"/>
      <c r="C59" s="20" t="n"/>
      <c r="D59" s="20" t="n"/>
      <c r="E59" s="20" t="n"/>
      <c r="F59" s="21" t="n"/>
      <c r="G59" s="24" t="inlineStr">
        <is>
          <t>哪個原因最重要？為什麼？這是DSE常問的</t>
        </is>
      </c>
      <c r="H59" s="21" t="n"/>
    </row>
    <row r="60">
      <c r="A60" s="23" t="inlineStr"/>
      <c r="B60" s="25" t="n"/>
      <c r="C60" s="20" t="n"/>
      <c r="D60" s="20" t="n"/>
      <c r="E60" s="20" t="n"/>
      <c r="F60" s="21" t="n"/>
    </row>
    <row r="61">
      <c r="A61" s="30" t="inlineStr">
        <is>
          <t>═══ 過程描述 ═══</t>
        </is>
      </c>
      <c r="B61" s="25" t="n"/>
      <c r="C61" s="20" t="n"/>
      <c r="D61" s="20" t="n"/>
      <c r="E61" s="20" t="n"/>
      <c r="F61" s="21" t="n"/>
      <c r="G61" s="24" t="inlineStr">
        <is>
          <t>事件如何發展？關鍵轉折點？</t>
        </is>
      </c>
      <c r="H61" s="21" t="n"/>
    </row>
    <row r="62">
      <c r="A62" s="23" t="inlineStr"/>
      <c r="B62" s="25" t="n"/>
      <c r="C62" s="20" t="n"/>
      <c r="D62" s="20" t="n"/>
      <c r="E62" s="20" t="n"/>
      <c r="F62" s="21" t="n"/>
    </row>
    <row r="63">
      <c r="A63" s="31" t="inlineStr">
        <is>
          <t>【重要人物角色】</t>
        </is>
      </c>
      <c r="B63" s="25" t="n"/>
      <c r="C63" s="20" t="n"/>
      <c r="D63" s="20" t="n"/>
      <c r="E63" s="20" t="n"/>
      <c r="F63" s="21" t="n"/>
    </row>
    <row r="64">
      <c r="A64" s="23" t="inlineStr">
        <is>
          <t>人物1：姓名</t>
        </is>
      </c>
      <c r="B64" s="33" t="inlineStr">
        <is>
          <t>做了什麼？扮演什麼角色？</t>
        </is>
      </c>
      <c r="C64" s="20" t="n"/>
      <c r="D64" s="20" t="n"/>
      <c r="E64" s="20" t="n"/>
      <c r="F64" s="21" t="n"/>
    </row>
    <row r="65">
      <c r="A65" s="23" t="inlineStr">
        <is>
          <t>人物2：姓名</t>
        </is>
      </c>
      <c r="B65" s="33" t="inlineStr">
        <is>
          <t>做了什麼？扮演什麼角色？</t>
        </is>
      </c>
      <c r="C65" s="20" t="n"/>
      <c r="D65" s="20" t="n"/>
      <c r="E65" s="20" t="n"/>
      <c r="F65" s="21" t="n"/>
    </row>
    <row r="66">
      <c r="A66" s="23" t="inlineStr">
        <is>
          <t>人物3：姓名</t>
        </is>
      </c>
      <c r="B66" s="33" t="inlineStr">
        <is>
          <t>做了什麼？扮演什麼角色？</t>
        </is>
      </c>
      <c r="C66" s="20" t="n"/>
      <c r="D66" s="20" t="n"/>
      <c r="E66" s="20" t="n"/>
      <c r="F66" s="21" t="n"/>
    </row>
    <row r="67">
      <c r="A67" s="23" t="inlineStr"/>
      <c r="B67" s="25" t="n"/>
      <c r="C67" s="20" t="n"/>
      <c r="D67" s="20" t="n"/>
      <c r="E67" s="20" t="n"/>
      <c r="F67" s="21" t="n"/>
    </row>
    <row r="68">
      <c r="A68" s="31" t="inlineStr">
        <is>
          <t>【關鍵事件/轉折點】</t>
        </is>
      </c>
      <c r="B68" s="25" t="n"/>
      <c r="C68" s="20" t="n"/>
      <c r="D68" s="20" t="n"/>
      <c r="E68" s="20" t="n"/>
      <c r="F68" s="21" t="n"/>
    </row>
    <row r="69">
      <c r="A69" s="23" t="inlineStr">
        <is>
          <t>轉折點1</t>
        </is>
      </c>
      <c r="B69" s="33" t="inlineStr">
        <is>
          <t>什麼事？為何重要？</t>
        </is>
      </c>
      <c r="C69" s="20" t="n"/>
      <c r="D69" s="20" t="n"/>
      <c r="E69" s="20" t="n"/>
      <c r="F69" s="21" t="n"/>
    </row>
    <row r="70">
      <c r="A70" s="23" t="inlineStr">
        <is>
          <t>轉折點2</t>
        </is>
      </c>
      <c r="B70" s="33" t="inlineStr">
        <is>
          <t>什麼事？為何重要？</t>
        </is>
      </c>
      <c r="C70" s="20" t="n"/>
      <c r="D70" s="20" t="n"/>
      <c r="E70" s="20" t="n"/>
      <c r="F70" s="21" t="n"/>
    </row>
    <row r="71">
      <c r="A71" s="23" t="inlineStr">
        <is>
          <t>轉折點3</t>
        </is>
      </c>
      <c r="B71" s="33" t="inlineStr">
        <is>
          <t>什麼事？為何重要？</t>
        </is>
      </c>
      <c r="C71" s="20" t="n"/>
      <c r="D71" s="20" t="n"/>
      <c r="E71" s="20" t="n"/>
      <c r="F71" s="21" t="n"/>
    </row>
    <row r="72">
      <c r="A72" s="23" t="inlineStr"/>
      <c r="B72" s="25" t="n"/>
      <c r="C72" s="20" t="n"/>
      <c r="D72" s="20" t="n"/>
      <c r="E72" s="20" t="n"/>
      <c r="F72" s="21" t="n"/>
    </row>
    <row r="73">
      <c r="A73" s="30" t="inlineStr">
        <is>
          <t>═══ 影響分析 ═══</t>
        </is>
      </c>
      <c r="B73" s="25" t="n"/>
      <c r="C73" s="20" t="n"/>
      <c r="D73" s="20" t="n"/>
      <c r="E73" s="20" t="n"/>
      <c r="F73" s="21" t="n"/>
      <c r="G73" s="24" t="inlineStr">
        <is>
          <t>事件帶來了什麼後果？分短期和長期</t>
        </is>
      </c>
      <c r="H73" s="21" t="n"/>
    </row>
    <row r="74">
      <c r="A74" s="23" t="inlineStr"/>
      <c r="B74" s="25" t="n"/>
      <c r="C74" s="20" t="n"/>
      <c r="D74" s="20" t="n"/>
      <c r="E74" s="20" t="n"/>
      <c r="F74" s="21" t="n"/>
    </row>
    <row r="75">
      <c r="A75" s="31" t="inlineStr">
        <is>
          <t>【短期影響】（當時-10年內）</t>
        </is>
      </c>
      <c r="B75" s="25" t="n"/>
      <c r="C75" s="20" t="n"/>
      <c r="D75" s="20" t="n"/>
      <c r="E75" s="20" t="n"/>
      <c r="F75" s="21" t="n"/>
    </row>
    <row r="76">
      <c r="A76" s="23" t="inlineStr">
        <is>
          <t>影響1</t>
        </is>
      </c>
      <c r="B76" s="27" t="n"/>
      <c r="C76" s="20" t="n"/>
      <c r="D76" s="20" t="n"/>
      <c r="E76" s="20" t="n"/>
      <c r="F76" s="21" t="n"/>
    </row>
    <row r="77">
      <c r="A77" s="23" t="inlineStr">
        <is>
          <t>影響2</t>
        </is>
      </c>
      <c r="B77" s="27" t="n"/>
      <c r="C77" s="20" t="n"/>
      <c r="D77" s="20" t="n"/>
      <c r="E77" s="20" t="n"/>
      <c r="F77" s="21" t="n"/>
    </row>
    <row r="78">
      <c r="A78" s="23" t="inlineStr">
        <is>
          <t>影響3</t>
        </is>
      </c>
      <c r="B78" s="27" t="n"/>
      <c r="C78" s="20" t="n"/>
      <c r="D78" s="20" t="n"/>
      <c r="E78" s="20" t="n"/>
      <c r="F78" s="21" t="n"/>
    </row>
    <row r="79">
      <c r="A79" s="23" t="inlineStr"/>
      <c r="B79" s="25" t="n"/>
      <c r="C79" s="20" t="n"/>
      <c r="D79" s="20" t="n"/>
      <c r="E79" s="20" t="n"/>
      <c r="F79" s="21" t="n"/>
    </row>
    <row r="80">
      <c r="A80" s="31" t="inlineStr">
        <is>
          <t>【長期影響】（10年以上-至今）</t>
        </is>
      </c>
      <c r="B80" s="25" t="n"/>
      <c r="C80" s="20" t="n"/>
      <c r="D80" s="20" t="n"/>
      <c r="E80" s="20" t="n"/>
      <c r="F80" s="21" t="n"/>
    </row>
    <row r="81">
      <c r="A81" s="23" t="inlineStr">
        <is>
          <t>影響1</t>
        </is>
      </c>
      <c r="B81" s="27" t="n"/>
      <c r="C81" s="20" t="n"/>
      <c r="D81" s="20" t="n"/>
      <c r="E81" s="20" t="n"/>
      <c r="F81" s="21" t="n"/>
    </row>
    <row r="82">
      <c r="A82" s="23" t="inlineStr">
        <is>
          <t>影響2</t>
        </is>
      </c>
      <c r="B82" s="27" t="n"/>
      <c r="C82" s="20" t="n"/>
      <c r="D82" s="20" t="n"/>
      <c r="E82" s="20" t="n"/>
      <c r="F82" s="21" t="n"/>
    </row>
    <row r="83">
      <c r="A83" s="23" t="inlineStr">
        <is>
          <t>影響3</t>
        </is>
      </c>
      <c r="B83" s="27" t="n"/>
      <c r="C83" s="20" t="n"/>
      <c r="D83" s="20" t="n"/>
      <c r="E83" s="20" t="n"/>
      <c r="F83" s="21" t="n"/>
    </row>
    <row r="84">
      <c r="A84" s="23" t="inlineStr"/>
      <c r="B84" s="25" t="n"/>
      <c r="C84" s="20" t="n"/>
      <c r="D84" s="20" t="n"/>
      <c r="E84" s="20" t="n"/>
      <c r="F84" s="21" t="n"/>
    </row>
    <row r="85">
      <c r="A85" s="31" t="inlineStr">
        <is>
          <t>【正面影響】</t>
        </is>
      </c>
      <c r="B85" s="25" t="n"/>
      <c r="C85" s="20" t="n"/>
      <c r="D85" s="20" t="n"/>
      <c r="E85" s="20" t="n"/>
      <c r="F85" s="21" t="n"/>
    </row>
    <row r="86">
      <c r="A86" s="23" t="inlineStr">
        <is>
          <t>影響1</t>
        </is>
      </c>
      <c r="B86" s="27" t="n"/>
      <c r="C86" s="20" t="n"/>
      <c r="D86" s="20" t="n"/>
      <c r="E86" s="20" t="n"/>
      <c r="F86" s="21" t="n"/>
    </row>
    <row r="87">
      <c r="A87" s="23" t="inlineStr">
        <is>
          <t>影響2</t>
        </is>
      </c>
      <c r="B87" s="27" t="n"/>
      <c r="C87" s="20" t="n"/>
      <c r="D87" s="20" t="n"/>
      <c r="E87" s="20" t="n"/>
      <c r="F87" s="21" t="n"/>
    </row>
    <row r="88">
      <c r="A88" s="23" t="inlineStr"/>
      <c r="B88" s="25" t="n"/>
      <c r="C88" s="20" t="n"/>
      <c r="D88" s="20" t="n"/>
      <c r="E88" s="20" t="n"/>
      <c r="F88" s="21" t="n"/>
    </row>
    <row r="89">
      <c r="A89" s="31" t="inlineStr">
        <is>
          <t>【負面影響】</t>
        </is>
      </c>
      <c r="B89" s="25" t="n"/>
      <c r="C89" s="20" t="n"/>
      <c r="D89" s="20" t="n"/>
      <c r="E89" s="20" t="n"/>
      <c r="F89" s="21" t="n"/>
    </row>
    <row r="90">
      <c r="A90" s="23" t="inlineStr">
        <is>
          <t>影響1</t>
        </is>
      </c>
      <c r="B90" s="27" t="n"/>
      <c r="C90" s="20" t="n"/>
      <c r="D90" s="20" t="n"/>
      <c r="E90" s="20" t="n"/>
      <c r="F90" s="21" t="n"/>
    </row>
    <row r="91">
      <c r="A91" s="23" t="inlineStr">
        <is>
          <t>影響2</t>
        </is>
      </c>
      <c r="B91" s="27" t="n"/>
      <c r="C91" s="20" t="n"/>
      <c r="D91" s="20" t="n"/>
      <c r="E91" s="20" t="n"/>
      <c r="F91" s="21" t="n"/>
    </row>
    <row r="92">
      <c r="A92" s="23" t="inlineStr"/>
      <c r="B92" s="25" t="n"/>
      <c r="C92" s="20" t="n"/>
      <c r="D92" s="20" t="n"/>
      <c r="E92" s="20" t="n"/>
      <c r="F92" s="21" t="n"/>
    </row>
    <row r="93">
      <c r="A93" s="32" t="inlineStr">
        <is>
          <t>🔑 歷史意義/評價</t>
        </is>
      </c>
      <c r="B93" s="25" t="n"/>
      <c r="C93" s="20" t="n"/>
      <c r="D93" s="20" t="n"/>
      <c r="E93" s="20" t="n"/>
      <c r="F93" s="21" t="n"/>
      <c r="G93" s="24" t="inlineStr">
        <is>
          <t>這個事件在歷史上的地位和評價，DSE論述題必備</t>
        </is>
      </c>
      <c r="H93" s="21" t="n"/>
    </row>
    <row r="96">
      <c r="A96" s="34" t="inlineStr">
        <is>
          <t>③ DSE PEEL結構型筆記模板</t>
        </is>
      </c>
      <c r="B96" s="20" t="n"/>
      <c r="C96" s="20" t="n"/>
      <c r="D96" s="20" t="n"/>
      <c r="E96" s="20" t="n"/>
      <c r="F96" s="20" t="n"/>
      <c r="G96" s="20" t="n"/>
      <c r="H96" s="21" t="n"/>
    </row>
    <row r="97">
      <c r="A97" s="22" t="inlineStr">
        <is>
          <t>適用於：DSE論述題/DBQ長答題 | PEEL = Point論點 + Evidence論據 + Explain解釋 + Link扣題</t>
        </is>
      </c>
      <c r="B97" s="20" t="n"/>
      <c r="C97" s="20" t="n"/>
      <c r="D97" s="20" t="n"/>
      <c r="E97" s="20" t="n"/>
      <c r="F97" s="20" t="n"/>
      <c r="G97" s="20" t="n"/>
      <c r="H97" s="21" t="n"/>
    </row>
    <row r="98">
      <c r="A98" s="36" t="inlineStr">
        <is>
          <t>PEEL 是什麼？</t>
        </is>
      </c>
    </row>
    <row r="99">
      <c r="A99" s="37" t="inlineStr">
        <is>
          <t>P = Point 論點</t>
        </is>
      </c>
      <c r="B99" s="2" t="inlineStr">
        <is>
          <t>清晰提出你的立場/觀點，直接回應題目</t>
        </is>
      </c>
      <c r="C99" s="20" t="n"/>
      <c r="D99" s="21" t="n"/>
      <c r="E99" s="24" t="inlineStr">
        <is>
          <t>例：「秦始皇的統一措施對後世影響深遠。」</t>
        </is>
      </c>
      <c r="F99" s="20" t="n"/>
      <c r="G99" s="20" t="n"/>
      <c r="H99" s="21" t="n"/>
    </row>
    <row r="100">
      <c r="A100" s="38" t="inlineStr">
        <is>
          <t>E = Evidence 論據</t>
        </is>
      </c>
      <c r="B100" s="2" t="inlineStr">
        <is>
          <t>用具體史實/數據支持你的論點</t>
        </is>
      </c>
      <c r="C100" s="20" t="n"/>
      <c r="D100" s="21" t="n"/>
      <c r="E100" s="24" t="inlineStr">
        <is>
          <t>例：「秦始皇統一文字為小篆，促進全國溝通。」</t>
        </is>
      </c>
      <c r="F100" s="20" t="n"/>
      <c r="G100" s="20" t="n"/>
      <c r="H100" s="21" t="n"/>
    </row>
    <row r="101">
      <c r="A101" s="39" t="inlineStr">
        <is>
          <t>E = Explain 解釋</t>
        </is>
      </c>
      <c r="B101" s="2" t="inlineStr">
        <is>
          <t>解釋論據如何支持論點，展示因果關係</t>
        </is>
      </c>
      <c r="C101" s="20" t="n"/>
      <c r="D101" s="21" t="n"/>
      <c r="E101" s="24" t="inlineStr">
        <is>
          <t>例：「文字統一打破地域隔閡，使政令通行全國。」</t>
        </is>
      </c>
      <c r="F101" s="20" t="n"/>
      <c r="G101" s="20" t="n"/>
      <c r="H101" s="21" t="n"/>
    </row>
    <row r="102">
      <c r="A102" s="40" t="inlineStr">
        <is>
          <t>L = Link 扣題</t>
        </is>
      </c>
      <c r="B102" s="2" t="inlineStr">
        <is>
          <t>總結並扣回題目，回應題目核心問題</t>
        </is>
      </c>
      <c r="C102" s="20" t="n"/>
      <c r="D102" s="21" t="n"/>
      <c r="E102" s="24" t="inlineStr">
        <is>
          <t>例：「因此，統一措施確實加強了中央集權。」</t>
        </is>
      </c>
      <c r="F102" s="20" t="n"/>
      <c r="G102" s="20" t="n"/>
      <c r="H102" s="21" t="n"/>
    </row>
    <row r="103">
      <c r="A103" s="36" t="inlineStr"/>
    </row>
    <row r="104">
      <c r="A104" s="36" t="inlineStr">
        <is>
          <t>═══ 開始你的PEEL筆記 ═══</t>
        </is>
      </c>
    </row>
    <row r="105">
      <c r="A105" s="23" t="inlineStr">
        <is>
          <t>事件標題</t>
        </is>
      </c>
      <c r="B105" s="19">
        <f>D4</f>
        <v/>
      </c>
      <c r="C105" s="20" t="n"/>
      <c r="D105" s="20" t="n"/>
      <c r="E105" s="20" t="n"/>
      <c r="F105" s="21" t="n"/>
    </row>
    <row r="106">
      <c r="A106" s="23" t="inlineStr">
        <is>
          <t>DSE常見問題</t>
        </is>
      </c>
      <c r="B106" s="27" t="n"/>
      <c r="C106" s="20" t="n"/>
      <c r="D106" s="20" t="n"/>
      <c r="E106" s="20" t="n"/>
      <c r="F106" s="21" t="n"/>
      <c r="G106" s="24" t="inlineStr">
        <is>
          <t>這個課題DSE通常怎樣問？如：X是否Y的主因？</t>
        </is>
      </c>
      <c r="H106" s="21" t="n"/>
    </row>
    <row r="107">
      <c r="A107" s="23" t="inlineStr"/>
      <c r="B107" s="25" t="n"/>
      <c r="C107" s="20" t="n"/>
      <c r="D107" s="20" t="n"/>
      <c r="E107" s="20" t="n"/>
      <c r="F107" s="21" t="n"/>
    </row>
    <row r="108">
      <c r="A108" s="41" t="inlineStr">
        <is>
          <t>═══ 論點一 ═══</t>
        </is>
      </c>
      <c r="B108" s="25" t="n"/>
      <c r="C108" s="20" t="n"/>
      <c r="D108" s="20" t="n"/>
      <c r="E108" s="20" t="n"/>
      <c r="F108" s="21" t="n"/>
      <c r="G108" s="24" t="inlineStr">
        <is>
          <t>每個論點用一組PEEL</t>
        </is>
      </c>
      <c r="H108" s="21" t="n"/>
    </row>
    <row r="109">
      <c r="A109" s="23" t="inlineStr"/>
      <c r="B109" s="25" t="n"/>
      <c r="C109" s="20" t="n"/>
      <c r="D109" s="20" t="n"/>
      <c r="E109" s="20" t="n"/>
      <c r="F109" s="21" t="n"/>
    </row>
    <row r="110">
      <c r="A110" s="42" t="inlineStr">
        <is>
          <t>P — 論點</t>
        </is>
      </c>
      <c r="B110" s="25" t="n"/>
      <c r="C110" s="20" t="n"/>
      <c r="D110" s="20" t="n"/>
      <c r="E110" s="20" t="n"/>
      <c r="F110" s="21" t="n"/>
      <c r="G110" s="24" t="inlineStr">
        <is>
          <t>你對這個問題的第一個立場/觀點是什麼？</t>
        </is>
      </c>
      <c r="H110" s="21" t="n"/>
    </row>
    <row r="111">
      <c r="A111" s="22" t="inlineStr">
        <is>
          <t>（用完整句子寫出你的論點）</t>
        </is>
      </c>
      <c r="B111" s="25" t="n"/>
      <c r="C111" s="20" t="n"/>
      <c r="D111" s="20" t="n"/>
      <c r="E111" s="20" t="n"/>
      <c r="F111" s="21" t="n"/>
      <c r="G111" s="24" t="inlineStr">
        <is>
          <t>例：秦始皇的統一措施有助加強中央集權</t>
        </is>
      </c>
      <c r="H111" s="21" t="n"/>
    </row>
    <row r="112">
      <c r="A112" s="23" t="inlineStr"/>
      <c r="B112" s="25" t="n"/>
      <c r="C112" s="20" t="n"/>
      <c r="D112" s="20" t="n"/>
      <c r="E112" s="20" t="n"/>
      <c r="F112" s="21" t="n"/>
    </row>
    <row r="113">
      <c r="A113" s="43" t="inlineStr">
        <is>
          <t>E — 論據①</t>
        </is>
      </c>
      <c r="B113" s="25" t="n"/>
      <c r="C113" s="20" t="n"/>
      <c r="D113" s="20" t="n"/>
      <c r="E113" s="20" t="n"/>
      <c r="F113" s="21" t="n"/>
      <c r="G113" s="24" t="inlineStr">
        <is>
          <t>第一個具體史實/證據</t>
        </is>
      </c>
      <c r="H113" s="21" t="n"/>
    </row>
    <row r="114">
      <c r="A114" s="22" t="inlineStr">
        <is>
          <t>（寫出具體的史實、數據或事件）</t>
        </is>
      </c>
      <c r="B114" s="25" t="n"/>
      <c r="C114" s="20" t="n"/>
      <c r="D114" s="20" t="n"/>
      <c r="E114" s="20" t="n"/>
      <c r="F114" s="21" t="n"/>
      <c r="G114" s="24" t="inlineStr">
        <is>
          <t>例：統一文字為小篆，全國使用同一套文字系統</t>
        </is>
      </c>
      <c r="H114" s="21" t="n"/>
    </row>
    <row r="115">
      <c r="A115" s="43" t="inlineStr">
        <is>
          <t>E — 論據②</t>
        </is>
      </c>
      <c r="B115" s="25" t="n"/>
      <c r="C115" s="20" t="n"/>
      <c r="D115" s="20" t="n"/>
      <c r="E115" s="20" t="n"/>
      <c r="F115" s="21" t="n"/>
      <c r="G115" s="24" t="inlineStr">
        <is>
          <t>第二個具體史實/證據</t>
        </is>
      </c>
      <c r="H115" s="21" t="n"/>
    </row>
    <row r="116">
      <c r="A116" s="22" t="inlineStr">
        <is>
          <t>（寫出具體的史實、數據或事件）</t>
        </is>
      </c>
      <c r="B116" s="25" t="n"/>
      <c r="C116" s="20" t="n"/>
      <c r="D116" s="20" t="n"/>
      <c r="E116" s="20" t="n"/>
      <c r="F116" s="21" t="n"/>
      <c r="G116" s="24" t="inlineStr">
        <is>
          <t>例：統一貨幣為半兩錢，促進全國商業貿易</t>
        </is>
      </c>
      <c r="H116" s="21" t="n"/>
    </row>
    <row r="117">
      <c r="A117" s="43" t="inlineStr">
        <is>
          <t>E — 論據③</t>
        </is>
      </c>
      <c r="B117" s="25" t="n"/>
      <c r="C117" s="20" t="n"/>
      <c r="D117" s="20" t="n"/>
      <c r="E117" s="20" t="n"/>
      <c r="F117" s="21" t="n"/>
      <c r="G117" s="24" t="inlineStr">
        <is>
          <t>第三個具體史實/證據（如有）</t>
        </is>
      </c>
      <c r="H117" s="21" t="n"/>
    </row>
    <row r="118">
      <c r="A118" s="22" t="inlineStr">
        <is>
          <t>（寫出具體的史實、數據或事件）</t>
        </is>
      </c>
      <c r="B118" s="25" t="n"/>
      <c r="C118" s="20" t="n"/>
      <c r="D118" s="20" t="n"/>
      <c r="E118" s="20" t="n"/>
      <c r="F118" s="21" t="n"/>
      <c r="G118" s="24" t="inlineStr">
        <is>
          <t>例：統一度量衡，方便稅收和經濟管理</t>
        </is>
      </c>
      <c r="H118" s="21" t="n"/>
    </row>
    <row r="119">
      <c r="A119" s="23" t="inlineStr"/>
      <c r="B119" s="25" t="n"/>
      <c r="C119" s="20" t="n"/>
      <c r="D119" s="20" t="n"/>
      <c r="E119" s="20" t="n"/>
      <c r="F119" s="21" t="n"/>
    </row>
    <row r="120">
      <c r="A120" s="44" t="inlineStr">
        <is>
          <t>E — 解釋</t>
        </is>
      </c>
      <c r="B120" s="25" t="n"/>
      <c r="C120" s="20" t="n"/>
      <c r="D120" s="20" t="n"/>
      <c r="E120" s="20" t="n"/>
      <c r="F120" s="21" t="n"/>
      <c r="G120" s="24" t="inlineStr">
        <is>
          <t>解釋以上論據如何支持你的論點</t>
        </is>
      </c>
      <c r="H120" s="21" t="n"/>
    </row>
    <row r="121">
      <c r="A121" s="22" t="inlineStr">
        <is>
          <t>（分析因果關係，展示邏輯推論）</t>
        </is>
      </c>
      <c r="B121" s="25" t="n"/>
      <c r="C121" s="20" t="n"/>
      <c r="D121" s="20" t="n"/>
      <c r="E121" s="20" t="n"/>
      <c r="F121" s="21" t="n"/>
      <c r="G121" s="24" t="inlineStr">
        <is>
          <t>例：文字、貨幣、度量衡的統一，消除地域差異，使中央政府能有效管治全國</t>
        </is>
      </c>
      <c r="H121" s="21" t="n"/>
    </row>
    <row r="122">
      <c r="A122" s="23" t="inlineStr"/>
      <c r="B122" s="25" t="n"/>
      <c r="C122" s="20" t="n"/>
      <c r="D122" s="20" t="n"/>
      <c r="E122" s="20" t="n"/>
      <c r="F122" s="21" t="n"/>
    </row>
    <row r="123">
      <c r="A123" s="45" t="inlineStr">
        <is>
          <t>L — 扣題</t>
        </is>
      </c>
      <c r="B123" s="25" t="n"/>
      <c r="C123" s="20" t="n"/>
      <c r="D123" s="20" t="n"/>
      <c r="E123" s="20" t="n"/>
      <c r="F123" s="21" t="n"/>
      <c r="G123" s="24" t="inlineStr">
        <is>
          <t>總結這個論點，扣回題目</t>
        </is>
      </c>
      <c r="H123" s="21" t="n"/>
    </row>
    <row r="124">
      <c r="A124" s="22" t="inlineStr">
        <is>
          <t>（用一句話總結，回應題目關鍵詞）</t>
        </is>
      </c>
      <c r="B124" s="25" t="n"/>
      <c r="C124" s="20" t="n"/>
      <c r="D124" s="20" t="n"/>
      <c r="E124" s="20" t="n"/>
      <c r="F124" s="21" t="n"/>
      <c r="G124" s="24" t="inlineStr">
        <is>
          <t>例：因此，統一措施確實加強了中央對全國的控制</t>
        </is>
      </c>
      <c r="H124" s="21" t="n"/>
    </row>
    <row r="125">
      <c r="A125" s="23" t="inlineStr"/>
      <c r="B125" s="25" t="n"/>
      <c r="C125" s="20" t="n"/>
      <c r="D125" s="20" t="n"/>
      <c r="E125" s="20" t="n"/>
      <c r="F125" s="21" t="n"/>
    </row>
    <row r="126">
      <c r="A126" s="41" t="inlineStr">
        <is>
          <t>═══ 論點二 ═══</t>
        </is>
      </c>
      <c r="B126" s="25" t="n"/>
      <c r="C126" s="20" t="n"/>
      <c r="D126" s="20" t="n"/>
      <c r="E126" s="20" t="n"/>
      <c r="F126" s="21" t="n"/>
      <c r="G126" s="24" t="inlineStr">
        <is>
          <t>反方論點或第二個角度（DSE論述題需要多角度）</t>
        </is>
      </c>
      <c r="H126" s="21" t="n"/>
    </row>
    <row r="127">
      <c r="A127" s="23" t="inlineStr"/>
      <c r="B127" s="25" t="n"/>
      <c r="C127" s="20" t="n"/>
      <c r="D127" s="20" t="n"/>
      <c r="E127" s="20" t="n"/>
      <c r="F127" s="21" t="n"/>
    </row>
    <row r="128">
      <c r="A128" s="42" t="inlineStr">
        <is>
          <t>P — 論點</t>
        </is>
      </c>
      <c r="B128" s="25" t="n"/>
      <c r="C128" s="20" t="n"/>
      <c r="D128" s="20" t="n"/>
      <c r="E128" s="20" t="n"/>
      <c r="F128" s="21" t="n"/>
      <c r="G128" s="24" t="inlineStr">
        <is>
          <t>從另一個角度提出論點</t>
        </is>
      </c>
      <c r="H128" s="21" t="n"/>
    </row>
    <row r="129">
      <c r="A129" s="22" t="inlineStr">
        <is>
          <t>（用完整句子寫出你的論點）</t>
        </is>
      </c>
      <c r="B129" s="25" t="n"/>
      <c r="C129" s="20" t="n"/>
      <c r="D129" s="20" t="n"/>
      <c r="E129" s="20" t="n"/>
      <c r="F129" s="21" t="n"/>
      <c r="G129" s="24" t="inlineStr">
        <is>
          <t>例：然而，秦始皇的統一措施也帶來負面影響</t>
        </is>
      </c>
      <c r="H129" s="21" t="n"/>
    </row>
    <row r="130">
      <c r="A130" s="23" t="inlineStr"/>
      <c r="B130" s="25" t="n"/>
      <c r="C130" s="20" t="n"/>
      <c r="D130" s="20" t="n"/>
      <c r="E130" s="20" t="n"/>
      <c r="F130" s="21" t="n"/>
    </row>
    <row r="131">
      <c r="A131" s="43" t="inlineStr">
        <is>
          <t>E — 論據①</t>
        </is>
      </c>
      <c r="B131" s="25" t="n"/>
      <c r="C131" s="20" t="n"/>
      <c r="D131" s="20" t="n"/>
      <c r="E131" s="20" t="n"/>
      <c r="F131" s="21" t="n"/>
    </row>
    <row r="132">
      <c r="A132" s="43" t="inlineStr">
        <is>
          <t>E — 論據②</t>
        </is>
      </c>
      <c r="B132" s="25" t="n"/>
      <c r="C132" s="20" t="n"/>
      <c r="D132" s="20" t="n"/>
      <c r="E132" s="20" t="n"/>
      <c r="F132" s="21" t="n"/>
    </row>
    <row r="133">
      <c r="A133" s="23" t="inlineStr"/>
      <c r="B133" s="25" t="n"/>
      <c r="C133" s="20" t="n"/>
      <c r="D133" s="20" t="n"/>
      <c r="E133" s="20" t="n"/>
      <c r="F133" s="21" t="n"/>
    </row>
    <row r="134">
      <c r="A134" s="44" t="inlineStr">
        <is>
          <t>E — 解釋</t>
        </is>
      </c>
      <c r="B134" s="25" t="n"/>
      <c r="C134" s="20" t="n"/>
      <c r="D134" s="20" t="n"/>
      <c r="E134" s="20" t="n"/>
      <c r="F134" s="21" t="n"/>
    </row>
    <row r="135">
      <c r="A135" s="23" t="inlineStr"/>
      <c r="B135" s="25" t="n"/>
      <c r="C135" s="20" t="n"/>
      <c r="D135" s="20" t="n"/>
      <c r="E135" s="20" t="n"/>
      <c r="F135" s="21" t="n"/>
    </row>
    <row r="136">
      <c r="A136" s="45" t="inlineStr">
        <is>
          <t>L — 扣題</t>
        </is>
      </c>
      <c r="B136" s="25" t="n"/>
      <c r="C136" s="20" t="n"/>
      <c r="D136" s="20" t="n"/>
      <c r="E136" s="20" t="n"/>
      <c r="F136" s="21" t="n"/>
    </row>
    <row r="137">
      <c r="A137" s="23" t="inlineStr"/>
      <c r="B137" s="25" t="n"/>
      <c r="C137" s="20" t="n"/>
      <c r="D137" s="20" t="n"/>
      <c r="E137" s="20" t="n"/>
      <c r="F137" s="21" t="n"/>
    </row>
    <row r="138">
      <c r="A138" s="41" t="inlineStr">
        <is>
          <t>═══ 論點三（如有） ═══</t>
        </is>
      </c>
      <c r="B138" s="25" t="n"/>
      <c r="C138" s="20" t="n"/>
      <c r="D138" s="20" t="n"/>
      <c r="E138" s="20" t="n"/>
      <c r="F138" s="21" t="n"/>
    </row>
    <row r="139">
      <c r="A139" s="42" t="inlineStr">
        <is>
          <t>P — 論點</t>
        </is>
      </c>
      <c r="B139" s="25" t="n"/>
      <c r="C139" s="20" t="n"/>
      <c r="D139" s="20" t="n"/>
      <c r="E139" s="20" t="n"/>
      <c r="F139" s="21" t="n"/>
    </row>
    <row r="140">
      <c r="A140" s="43" t="inlineStr">
        <is>
          <t>E — 論據</t>
        </is>
      </c>
      <c r="B140" s="25" t="n"/>
      <c r="C140" s="20" t="n"/>
      <c r="D140" s="20" t="n"/>
      <c r="E140" s="20" t="n"/>
      <c r="F140" s="21" t="n"/>
    </row>
    <row r="141">
      <c r="A141" s="44" t="inlineStr">
        <is>
          <t>E — 解釋</t>
        </is>
      </c>
      <c r="B141" s="25" t="n"/>
      <c r="C141" s="20" t="n"/>
      <c r="D141" s="20" t="n"/>
      <c r="E141" s="20" t="n"/>
      <c r="F141" s="21" t="n"/>
    </row>
    <row r="142">
      <c r="A142" s="45" t="inlineStr">
        <is>
          <t>L — 扣題</t>
        </is>
      </c>
      <c r="B142" s="25" t="n"/>
      <c r="C142" s="20" t="n"/>
      <c r="D142" s="20" t="n"/>
      <c r="E142" s="20" t="n"/>
      <c r="F142" s="21" t="n"/>
    </row>
    <row r="143">
      <c r="A143" s="23" t="inlineStr"/>
      <c r="B143" s="25" t="n"/>
      <c r="C143" s="20" t="n"/>
      <c r="D143" s="20" t="n"/>
      <c r="E143" s="20" t="n"/>
      <c r="F143" s="21" t="n"/>
    </row>
    <row r="144">
      <c r="A144" s="41" t="inlineStr">
        <is>
          <t>═══ 總結 ═══</t>
        </is>
      </c>
      <c r="B144" s="25" t="n"/>
      <c r="C144" s="20" t="n"/>
      <c r="D144" s="20" t="n"/>
      <c r="E144" s="20" t="n"/>
      <c r="F144" s="21" t="n"/>
    </row>
    <row r="145">
      <c r="A145" s="23" t="inlineStr">
        <is>
          <t>整體立場</t>
        </is>
      </c>
      <c r="B145" s="27" t="n"/>
      <c r="C145" s="20" t="n"/>
      <c r="D145" s="20" t="n"/>
      <c r="E145" s="20" t="n"/>
      <c r="F145" s="21" t="n"/>
      <c r="G145" s="24" t="inlineStr">
        <is>
          <t>綜合所有論點，你的最終立場是什麼？</t>
        </is>
      </c>
      <c r="H145" s="21" t="n"/>
    </row>
    <row r="146">
      <c r="A146" s="22" t="inlineStr">
        <is>
          <t>（要明確回應題目，不能兩面都對又不取立場）</t>
        </is>
      </c>
      <c r="B146" s="25" t="n"/>
      <c r="C146" s="20" t="n"/>
      <c r="D146" s="20" t="n"/>
      <c r="E146" s="20" t="n"/>
      <c r="F146" s="21" t="n"/>
      <c r="G146" s="24" t="inlineStr">
        <is>
          <t>例：總括而言，秦始皇的統一措施利大於弊，雖然過程中造成短期動盪，但長遠而言奠定了中國統一的基礎</t>
        </is>
      </c>
      <c r="H146" s="21" t="n"/>
    </row>
    <row r="149">
      <c r="A149" s="46" t="inlineStr">
        <is>
          <t>④ 混合型筆記模板（事實描述 + 原因過程影響 + PEEL）</t>
        </is>
      </c>
      <c r="B149" s="20" t="n"/>
      <c r="C149" s="20" t="n"/>
      <c r="D149" s="20" t="n"/>
      <c r="E149" s="20" t="n"/>
      <c r="F149" s="20" t="n"/>
      <c r="G149" s="20" t="n"/>
      <c r="H149" s="21" t="n"/>
    </row>
    <row r="150">
      <c r="A150" s="22" t="inlineStr">
        <is>
          <t>適用於：最全面的筆記方式 | 先記事實 → 再分析因果 → 最後用PEEL組織論述答案 | 適合重點課題</t>
        </is>
      </c>
      <c r="B150" s="20" t="n"/>
      <c r="C150" s="20" t="n"/>
      <c r="D150" s="20" t="n"/>
      <c r="E150" s="20" t="n"/>
      <c r="F150" s="20" t="n"/>
      <c r="G150" s="20" t="n"/>
      <c r="H150" s="21" t="n"/>
    </row>
    <row r="151">
      <c r="A151" s="23" t="inlineStr">
        <is>
          <t>事件標題</t>
        </is>
      </c>
      <c r="B151" s="19">
        <f>D4</f>
        <v/>
      </c>
      <c r="C151" s="20" t="n"/>
      <c r="D151" s="20" t="n"/>
      <c r="E151" s="20" t="n"/>
      <c r="F151" s="21" t="n"/>
    </row>
    <row r="152">
      <c r="A152" s="23" t="inlineStr">
        <is>
          <t>時間/朝代</t>
        </is>
      </c>
      <c r="B152" s="19">
        <f>B5</f>
        <v/>
      </c>
      <c r="C152" s="20" t="n"/>
      <c r="D152" s="20" t="n"/>
      <c r="E152" s="20" t="n"/>
      <c r="F152" s="21" t="n"/>
    </row>
    <row r="153">
      <c r="A153" s="23" t="inlineStr">
        <is>
          <t>相關人物</t>
        </is>
      </c>
      <c r="B153" s="19">
        <f>D5</f>
        <v/>
      </c>
      <c r="C153" s="20" t="n"/>
      <c r="D153" s="20" t="n"/>
      <c r="E153" s="20" t="n"/>
      <c r="F153" s="21" t="n"/>
    </row>
    <row r="154">
      <c r="A154" s="23" t="inlineStr"/>
      <c r="B154" s="25" t="n"/>
      <c r="C154" s="20" t="n"/>
      <c r="D154" s="20" t="n"/>
      <c r="E154" s="20" t="n"/>
      <c r="F154" s="21" t="n"/>
    </row>
    <row r="155">
      <c r="A155" s="48" t="inlineStr">
        <is>
          <t>╔══════════════════════════════╗</t>
        </is>
      </c>
      <c r="B155" s="25" t="n"/>
      <c r="C155" s="20" t="n"/>
      <c r="D155" s="20" t="n"/>
      <c r="E155" s="20" t="n"/>
      <c r="F155" s="21" t="n"/>
    </row>
    <row r="156">
      <c r="A156" s="48" t="inlineStr">
        <is>
          <t>║  第一部分：事實描述（快速記憶用）  ║</t>
        </is>
      </c>
      <c r="B156" s="25" t="n"/>
      <c r="C156" s="20" t="n"/>
      <c r="D156" s="20" t="n"/>
      <c r="E156" s="20" t="n"/>
      <c r="F156" s="21" t="n"/>
    </row>
    <row r="157">
      <c r="A157" s="48" t="inlineStr">
        <is>
          <t>╚══════════════════════════════╝</t>
        </is>
      </c>
      <c r="B157" s="25" t="n"/>
      <c r="C157" s="20" t="n"/>
      <c r="D157" s="20" t="n"/>
      <c r="E157" s="20" t="n"/>
      <c r="F157" s="21" t="n"/>
    </row>
    <row r="158">
      <c r="A158" s="23" t="inlineStr"/>
      <c r="B158" s="25" t="n"/>
      <c r="C158" s="20" t="n"/>
      <c r="D158" s="20" t="n"/>
      <c r="E158" s="20" t="n"/>
      <c r="F158" s="21" t="n"/>
    </row>
    <row r="159">
      <c r="A159" s="49" t="inlineStr">
        <is>
          <t>【背景】</t>
        </is>
      </c>
      <c r="B159" s="25" t="n"/>
      <c r="C159" s="20" t="n"/>
      <c r="D159" s="20" t="n"/>
      <c r="E159" s="20" t="n"/>
      <c r="F159" s="21" t="n"/>
      <c r="G159" s="24" t="inlineStr">
        <is>
          <t>簡述事件發生的背景</t>
        </is>
      </c>
      <c r="H159" s="21" t="n"/>
    </row>
    <row r="160">
      <c r="A160" s="23" t="inlineStr">
        <is>
          <t>背景要點</t>
        </is>
      </c>
      <c r="B160" s="27" t="n"/>
      <c r="C160" s="20" t="n"/>
      <c r="D160" s="20" t="n"/>
      <c r="E160" s="20" t="n"/>
      <c r="F160" s="21" t="n"/>
    </row>
    <row r="161">
      <c r="A161" s="23" t="inlineStr"/>
      <c r="B161" s="25" t="n"/>
      <c r="C161" s="20" t="n"/>
      <c r="D161" s="20" t="n"/>
      <c r="E161" s="20" t="n"/>
      <c r="F161" s="21" t="n"/>
    </row>
    <row r="162">
      <c r="A162" s="49" t="inlineStr">
        <is>
          <t>【經過】</t>
        </is>
      </c>
      <c r="B162" s="25" t="n"/>
      <c r="C162" s="20" t="n"/>
      <c r="D162" s="20" t="n"/>
      <c r="E162" s="20" t="n"/>
      <c r="F162" s="21" t="n"/>
      <c r="G162" s="24" t="inlineStr">
        <is>
          <t>按時間順序記錄關鍵事件</t>
        </is>
      </c>
      <c r="H162" s="21" t="n"/>
    </row>
    <row r="163">
      <c r="A163" s="23" t="inlineStr">
        <is>
          <t>階段1</t>
        </is>
      </c>
      <c r="B163" s="27" t="n"/>
      <c r="C163" s="20" t="n"/>
      <c r="D163" s="20" t="n"/>
      <c r="E163" s="20" t="n"/>
      <c r="F163" s="21" t="n"/>
    </row>
    <row r="164">
      <c r="A164" s="23" t="inlineStr">
        <is>
          <t>階段2</t>
        </is>
      </c>
      <c r="B164" s="27" t="n"/>
      <c r="C164" s="20" t="n"/>
      <c r="D164" s="20" t="n"/>
      <c r="E164" s="20" t="n"/>
      <c r="F164" s="21" t="n"/>
    </row>
    <row r="165">
      <c r="A165" s="23" t="inlineStr">
        <is>
          <t>階段3</t>
        </is>
      </c>
      <c r="B165" s="27" t="n"/>
      <c r="C165" s="20" t="n"/>
      <c r="D165" s="20" t="n"/>
      <c r="E165" s="20" t="n"/>
      <c r="F165" s="21" t="n"/>
    </row>
    <row r="166">
      <c r="A166" s="23" t="inlineStr"/>
      <c r="B166" s="25" t="n"/>
      <c r="C166" s="20" t="n"/>
      <c r="D166" s="20" t="n"/>
      <c r="E166" s="20" t="n"/>
      <c r="F166" s="21" t="n"/>
    </row>
    <row r="167">
      <c r="A167" s="49" t="inlineStr">
        <is>
          <t>【關鍵數據/條約/制度】</t>
        </is>
      </c>
      <c r="B167" s="25" t="n"/>
      <c r="C167" s="20" t="n"/>
      <c r="D167" s="20" t="n"/>
      <c r="E167" s="20" t="n"/>
      <c r="F167" s="21" t="n"/>
      <c r="G167" s="24" t="inlineStr">
        <is>
          <t>必須記住的具體內容</t>
        </is>
      </c>
      <c r="H167" s="21" t="n"/>
    </row>
    <row r="168">
      <c r="A168" s="23" t="inlineStr">
        <is>
          <t>項目1</t>
        </is>
      </c>
      <c r="B168" s="27" t="n"/>
      <c r="C168" s="20" t="n"/>
      <c r="D168" s="20" t="n"/>
      <c r="E168" s="20" t="n"/>
      <c r="F168" s="21" t="n"/>
    </row>
    <row r="169">
      <c r="A169" s="23" t="inlineStr">
        <is>
          <t>項目2</t>
        </is>
      </c>
      <c r="B169" s="27" t="n"/>
      <c r="C169" s="20" t="n"/>
      <c r="D169" s="20" t="n"/>
      <c r="E169" s="20" t="n"/>
      <c r="F169" s="21" t="n"/>
    </row>
    <row r="170">
      <c r="A170" s="23" t="inlineStr"/>
      <c r="B170" s="25" t="n"/>
      <c r="C170" s="20" t="n"/>
      <c r="D170" s="20" t="n"/>
      <c r="E170" s="20" t="n"/>
      <c r="F170" s="21" t="n"/>
    </row>
    <row r="171">
      <c r="A171" s="48" t="inlineStr">
        <is>
          <t>╔══════════════════════════════╗</t>
        </is>
      </c>
      <c r="B171" s="25" t="n"/>
      <c r="C171" s="20" t="n"/>
      <c r="D171" s="20" t="n"/>
      <c r="E171" s="20" t="n"/>
      <c r="F171" s="21" t="n"/>
    </row>
    <row r="172">
      <c r="A172" s="48" t="inlineStr">
        <is>
          <t>║  第二部分：原因-過程-影響分析  ║</t>
        </is>
      </c>
      <c r="B172" s="25" t="n"/>
      <c r="C172" s="20" t="n"/>
      <c r="D172" s="20" t="n"/>
      <c r="E172" s="20" t="n"/>
      <c r="F172" s="21" t="n"/>
    </row>
    <row r="173">
      <c r="A173" s="48" t="inlineStr">
        <is>
          <t>╚══════════════════════════════╝</t>
        </is>
      </c>
      <c r="B173" s="25" t="n"/>
      <c r="C173" s="20" t="n"/>
      <c r="D173" s="20" t="n"/>
      <c r="E173" s="20" t="n"/>
      <c r="F173" s="21" t="n"/>
    </row>
    <row r="174">
      <c r="A174" s="23" t="inlineStr"/>
      <c r="B174" s="25" t="n"/>
      <c r="C174" s="20" t="n"/>
      <c r="D174" s="20" t="n"/>
      <c r="E174" s="20" t="n"/>
      <c r="F174" s="21" t="n"/>
    </row>
    <row r="175">
      <c r="A175" s="49" t="inlineStr">
        <is>
          <t>【原因】</t>
        </is>
      </c>
      <c r="B175" s="25" t="n"/>
      <c r="C175" s="20" t="n"/>
      <c r="D175" s="20" t="n"/>
      <c r="E175" s="20" t="n"/>
      <c r="F175" s="21" t="n"/>
    </row>
    <row r="176">
      <c r="A176" s="23" t="inlineStr">
        <is>
          <t>政治原因</t>
        </is>
      </c>
      <c r="B176" s="27" t="n"/>
      <c r="C176" s="20" t="n"/>
      <c r="D176" s="20" t="n"/>
      <c r="E176" s="20" t="n"/>
      <c r="F176" s="21" t="n"/>
    </row>
    <row r="177">
      <c r="A177" s="23" t="inlineStr">
        <is>
          <t>經濟原因</t>
        </is>
      </c>
      <c r="B177" s="27" t="n"/>
      <c r="C177" s="20" t="n"/>
      <c r="D177" s="20" t="n"/>
      <c r="E177" s="20" t="n"/>
      <c r="F177" s="21" t="n"/>
    </row>
    <row r="178">
      <c r="A178" s="23" t="inlineStr">
        <is>
          <t>社會/文化原因</t>
        </is>
      </c>
      <c r="B178" s="27" t="n"/>
      <c r="C178" s="20" t="n"/>
      <c r="D178" s="20" t="n"/>
      <c r="E178" s="20" t="n"/>
      <c r="F178" s="21" t="n"/>
    </row>
    <row r="179">
      <c r="A179" s="23" t="inlineStr">
        <is>
          <t>外部/國際原因</t>
        </is>
      </c>
      <c r="B179" s="27" t="n"/>
      <c r="C179" s="20" t="n"/>
      <c r="D179" s="20" t="n"/>
      <c r="E179" s="20" t="n"/>
      <c r="F179" s="21" t="n"/>
    </row>
    <row r="180">
      <c r="A180" s="32" t="inlineStr">
        <is>
          <t>🔑 最關鍵原因</t>
        </is>
      </c>
      <c r="B180" s="25" t="n"/>
      <c r="C180" s="20" t="n"/>
      <c r="D180" s="20" t="n"/>
      <c r="E180" s="20" t="n"/>
      <c r="F180" s="21" t="n"/>
    </row>
    <row r="181">
      <c r="A181" s="23" t="inlineStr"/>
      <c r="B181" s="25" t="n"/>
      <c r="C181" s="20" t="n"/>
      <c r="D181" s="20" t="n"/>
      <c r="E181" s="20" t="n"/>
      <c r="F181" s="21" t="n"/>
    </row>
    <row r="182">
      <c r="A182" s="49" t="inlineStr">
        <is>
          <t>【過程中的關鍵人物】</t>
        </is>
      </c>
      <c r="B182" s="25" t="n"/>
      <c r="C182" s="20" t="n"/>
      <c r="D182" s="20" t="n"/>
      <c r="E182" s="20" t="n"/>
      <c r="F182" s="21" t="n"/>
    </row>
    <row r="183">
      <c r="A183" s="23" t="inlineStr">
        <is>
          <t>人物1</t>
        </is>
      </c>
      <c r="B183" s="27" t="n"/>
      <c r="C183" s="20" t="n"/>
      <c r="D183" s="20" t="n"/>
      <c r="E183" s="20" t="n"/>
      <c r="F183" s="21" t="n"/>
    </row>
    <row r="184">
      <c r="A184" s="23" t="inlineStr">
        <is>
          <t>人物2</t>
        </is>
      </c>
      <c r="B184" s="27" t="n"/>
      <c r="C184" s="20" t="n"/>
      <c r="D184" s="20" t="n"/>
      <c r="E184" s="20" t="n"/>
      <c r="F184" s="21" t="n"/>
    </row>
    <row r="185">
      <c r="A185" s="23" t="inlineStr"/>
      <c r="B185" s="25" t="n"/>
      <c r="C185" s="20" t="n"/>
      <c r="D185" s="20" t="n"/>
      <c r="E185" s="20" t="n"/>
      <c r="F185" s="21" t="n"/>
    </row>
    <row r="186">
      <c r="A186" s="49" t="inlineStr">
        <is>
          <t>【影響】</t>
        </is>
      </c>
      <c r="B186" s="25" t="n"/>
      <c r="C186" s="20" t="n"/>
      <c r="D186" s="20" t="n"/>
      <c r="E186" s="20" t="n"/>
      <c r="F186" s="21" t="n"/>
    </row>
    <row r="187">
      <c r="A187" s="23" t="inlineStr">
        <is>
          <t>短期影響</t>
        </is>
      </c>
      <c r="B187" s="27" t="n"/>
      <c r="C187" s="20" t="n"/>
      <c r="D187" s="20" t="n"/>
      <c r="E187" s="20" t="n"/>
      <c r="F187" s="21" t="n"/>
    </row>
    <row r="188">
      <c r="A188" s="23" t="inlineStr">
        <is>
          <t>長期影響</t>
        </is>
      </c>
      <c r="B188" s="27" t="n"/>
      <c r="C188" s="20" t="n"/>
      <c r="D188" s="20" t="n"/>
      <c r="E188" s="20" t="n"/>
      <c r="F188" s="21" t="n"/>
    </row>
    <row r="189">
      <c r="A189" s="23" t="inlineStr">
        <is>
          <t>正面影響</t>
        </is>
      </c>
      <c r="B189" s="27" t="n"/>
      <c r="C189" s="20" t="n"/>
      <c r="D189" s="20" t="n"/>
      <c r="E189" s="20" t="n"/>
      <c r="F189" s="21" t="n"/>
    </row>
    <row r="190">
      <c r="A190" s="23" t="inlineStr">
        <is>
          <t>負面影響</t>
        </is>
      </c>
      <c r="B190" s="27" t="n"/>
      <c r="C190" s="20" t="n"/>
      <c r="D190" s="20" t="n"/>
      <c r="E190" s="20" t="n"/>
      <c r="F190" s="21" t="n"/>
    </row>
    <row r="191">
      <c r="A191" s="23" t="inlineStr"/>
      <c r="B191" s="25" t="n"/>
      <c r="C191" s="20" t="n"/>
      <c r="D191" s="20" t="n"/>
      <c r="E191" s="20" t="n"/>
      <c r="F191" s="21" t="n"/>
    </row>
    <row r="192">
      <c r="A192" s="48" t="inlineStr">
        <is>
          <t>╔══════════════════════════════╗</t>
        </is>
      </c>
      <c r="B192" s="25" t="n"/>
      <c r="C192" s="20" t="n"/>
      <c r="D192" s="20" t="n"/>
      <c r="E192" s="20" t="n"/>
      <c r="F192" s="21" t="n"/>
    </row>
    <row r="193">
      <c r="A193" s="48" t="inlineStr">
        <is>
          <t>║  第三部分：PEEL論述（DSE答題用）  ║</t>
        </is>
      </c>
      <c r="B193" s="25" t="n"/>
      <c r="C193" s="20" t="n"/>
      <c r="D193" s="20" t="n"/>
      <c r="E193" s="20" t="n"/>
      <c r="F193" s="21" t="n"/>
    </row>
    <row r="194">
      <c r="A194" s="48" t="inlineStr">
        <is>
          <t>╚══════════════════════════════╝</t>
        </is>
      </c>
      <c r="B194" s="25" t="n"/>
      <c r="C194" s="20" t="n"/>
      <c r="D194" s="20" t="n"/>
      <c r="E194" s="20" t="n"/>
      <c r="F194" s="21" t="n"/>
    </row>
    <row r="195">
      <c r="A195" s="23" t="inlineStr"/>
      <c r="B195" s="25" t="n"/>
      <c r="C195" s="20" t="n"/>
      <c r="D195" s="20" t="n"/>
      <c r="E195" s="20" t="n"/>
      <c r="F195" s="21" t="n"/>
    </row>
    <row r="196">
      <c r="A196" s="23" t="inlineStr">
        <is>
          <t>DSE常見問題</t>
        </is>
      </c>
      <c r="B196" s="27" t="n"/>
      <c r="C196" s="20" t="n"/>
      <c r="D196" s="20" t="n"/>
      <c r="E196" s="20" t="n"/>
      <c r="F196" s="21" t="n"/>
      <c r="G196" s="24" t="inlineStr">
        <is>
          <t>這個課題DSE通常怎樣問？</t>
        </is>
      </c>
      <c r="H196" s="21" t="n"/>
    </row>
    <row r="197">
      <c r="A197" s="23" t="inlineStr"/>
      <c r="B197" s="25" t="n"/>
      <c r="C197" s="20" t="n"/>
      <c r="D197" s="20" t="n"/>
      <c r="E197" s="20" t="n"/>
      <c r="F197" s="21" t="n"/>
    </row>
    <row r="198">
      <c r="A198" s="49" t="inlineStr">
        <is>
          <t>【論點一】</t>
        </is>
      </c>
      <c r="B198" s="25" t="n"/>
      <c r="C198" s="20" t="n"/>
      <c r="D198" s="20" t="n"/>
      <c r="E198" s="20" t="n"/>
      <c r="F198" s="21" t="n"/>
    </row>
    <row r="199">
      <c r="A199" s="42" t="inlineStr">
        <is>
          <t>P — 論點</t>
        </is>
      </c>
      <c r="B199" s="25" t="n"/>
      <c r="C199" s="20" t="n"/>
      <c r="D199" s="20" t="n"/>
      <c r="E199" s="20" t="n"/>
      <c r="F199" s="21" t="n"/>
    </row>
    <row r="200">
      <c r="A200" s="43" t="inlineStr">
        <is>
          <t>E — 論據</t>
        </is>
      </c>
      <c r="B200" s="25" t="n"/>
      <c r="C200" s="20" t="n"/>
      <c r="D200" s="20" t="n"/>
      <c r="E200" s="20" t="n"/>
      <c r="F200" s="21" t="n"/>
    </row>
    <row r="201">
      <c r="A201" s="44" t="inlineStr">
        <is>
          <t>E — 解釋</t>
        </is>
      </c>
      <c r="B201" s="25" t="n"/>
      <c r="C201" s="20" t="n"/>
      <c r="D201" s="20" t="n"/>
      <c r="E201" s="20" t="n"/>
      <c r="F201" s="21" t="n"/>
    </row>
    <row r="202">
      <c r="A202" s="45" t="inlineStr">
        <is>
          <t>L — 扣題</t>
        </is>
      </c>
      <c r="B202" s="25" t="n"/>
      <c r="C202" s="20" t="n"/>
      <c r="D202" s="20" t="n"/>
      <c r="E202" s="20" t="n"/>
      <c r="F202" s="21" t="n"/>
    </row>
    <row r="203">
      <c r="A203" s="23" t="inlineStr"/>
      <c r="B203" s="25" t="n"/>
      <c r="C203" s="20" t="n"/>
      <c r="D203" s="20" t="n"/>
      <c r="E203" s="20" t="n"/>
      <c r="F203" s="21" t="n"/>
    </row>
    <row r="204">
      <c r="A204" s="49" t="inlineStr">
        <is>
          <t>【論點二】</t>
        </is>
      </c>
      <c r="B204" s="25" t="n"/>
      <c r="C204" s="20" t="n"/>
      <c r="D204" s="20" t="n"/>
      <c r="E204" s="20" t="n"/>
      <c r="F204" s="21" t="n"/>
    </row>
    <row r="205">
      <c r="A205" s="42" t="inlineStr">
        <is>
          <t>P — 論點</t>
        </is>
      </c>
      <c r="B205" s="25" t="n"/>
      <c r="C205" s="20" t="n"/>
      <c r="D205" s="20" t="n"/>
      <c r="E205" s="20" t="n"/>
      <c r="F205" s="21" t="n"/>
    </row>
    <row r="206">
      <c r="A206" s="43" t="inlineStr">
        <is>
          <t>E — 論據</t>
        </is>
      </c>
      <c r="B206" s="25" t="n"/>
      <c r="C206" s="20" t="n"/>
      <c r="D206" s="20" t="n"/>
      <c r="E206" s="20" t="n"/>
      <c r="F206" s="21" t="n"/>
    </row>
    <row r="207">
      <c r="A207" s="44" t="inlineStr">
        <is>
          <t>E — 解釋</t>
        </is>
      </c>
      <c r="B207" s="25" t="n"/>
      <c r="C207" s="20" t="n"/>
      <c r="D207" s="20" t="n"/>
      <c r="E207" s="20" t="n"/>
      <c r="F207" s="21" t="n"/>
    </row>
    <row r="208">
      <c r="A208" s="45" t="inlineStr">
        <is>
          <t>L — 扣題</t>
        </is>
      </c>
      <c r="B208" s="25" t="n"/>
      <c r="C208" s="20" t="n"/>
      <c r="D208" s="20" t="n"/>
      <c r="E208" s="20" t="n"/>
      <c r="F208" s="21" t="n"/>
    </row>
    <row r="209">
      <c r="A209" s="23" t="inlineStr"/>
      <c r="B209" s="25" t="n"/>
      <c r="C209" s="20" t="n"/>
      <c r="D209" s="20" t="n"/>
      <c r="E209" s="20" t="n"/>
      <c r="F209" s="21" t="n"/>
    </row>
    <row r="210">
      <c r="A210" s="49" t="inlineStr">
        <is>
          <t>【總結立場】</t>
        </is>
      </c>
      <c r="B210" s="25" t="n"/>
      <c r="C210" s="20" t="n"/>
      <c r="D210" s="20" t="n"/>
      <c r="E210" s="20" t="n"/>
      <c r="F210" s="21" t="n"/>
    </row>
    <row r="211">
      <c r="A211" s="23" t="inlineStr">
        <is>
          <t>你的最終立場</t>
        </is>
      </c>
      <c r="B211" s="27" t="n"/>
      <c r="C211" s="20" t="n"/>
      <c r="D211" s="20" t="n"/>
      <c r="E211" s="20" t="n"/>
      <c r="F211" s="21" t="n"/>
      <c r="G211" s="24" t="inlineStr">
        <is>
          <t>明確回應題目，不能模棱兩可</t>
        </is>
      </c>
      <c r="H211" s="21" t="n"/>
    </row>
    <row r="214">
      <c r="A214" s="50" t="inlineStr">
        <is>
          <t>📋 使用方法</t>
        </is>
      </c>
      <c r="B214" s="20" t="n"/>
      <c r="C214" s="20" t="n"/>
      <c r="D214" s="20" t="n"/>
      <c r="E214" s="20" t="n"/>
      <c r="F214" s="20" t="n"/>
      <c r="G214" s="20" t="n"/>
      <c r="H214" s="21" t="n"/>
    </row>
    <row r="215">
      <c r="A215" s="2" t="inlineStr">
        <is>
          <t>1. 在上方黃色格子輸入事件標題、時間、人物等資料</t>
        </is>
      </c>
      <c r="B215" s="20" t="n"/>
      <c r="C215" s="20" t="n"/>
      <c r="D215" s="20" t="n"/>
      <c r="E215" s="20" t="n"/>
      <c r="F215" s="20" t="n"/>
      <c r="G215" s="20" t="n"/>
      <c r="H215" s="21" t="n"/>
    </row>
    <row r="216">
      <c r="A216" s="2" t="inlineStr">
        <is>
          <t>2. 在「筆記格式」選擇你想用的格式（①/②/③/④）</t>
        </is>
      </c>
      <c r="B216" s="20" t="n"/>
      <c r="C216" s="20" t="n"/>
      <c r="D216" s="20" t="n"/>
      <c r="E216" s="20" t="n"/>
      <c r="F216" s="20" t="n"/>
      <c r="G216" s="20" t="n"/>
      <c r="H216" s="21" t="n"/>
    </row>
    <row r="217">
      <c r="A217" s="2" t="inlineStr">
        <is>
          <t>3. 滾到對應格式的模板區域，在黃色格子填入你的筆記內容</t>
        </is>
      </c>
      <c r="B217" s="20" t="n"/>
      <c r="C217" s="20" t="n"/>
      <c r="D217" s="20" t="n"/>
      <c r="E217" s="20" t="n"/>
      <c r="F217" s="20" t="n"/>
      <c r="G217" s="20" t="n"/>
      <c r="H217" s="21" t="n"/>
    </row>
    <row r="218">
      <c r="A218" s="2" t="inlineStr">
        <is>
          <t>4. 完成後，把筆記重點複製到對應科目的筆記表（筆記_中史/世史/C&amp;SD）</t>
        </is>
      </c>
      <c r="B218" s="20" t="n"/>
      <c r="C218" s="20" t="n"/>
      <c r="D218" s="20" t="n"/>
      <c r="E218" s="20" t="n"/>
      <c r="F218" s="20" t="n"/>
      <c r="G218" s="20" t="n"/>
      <c r="H218" s="21" t="n"/>
    </row>
    <row r="219">
      <c r="A219" s="2" t="inlineStr">
        <is>
          <t>5. 記得在筆記表標記DSE題型和熟練度！</t>
        </is>
      </c>
      <c r="B219" s="20" t="n"/>
      <c r="C219" s="20" t="n"/>
      <c r="D219" s="20" t="n"/>
      <c r="E219" s="20" t="n"/>
      <c r="F219" s="20" t="n"/>
      <c r="G219" s="20" t="n"/>
      <c r="H219" s="21" t="n"/>
    </row>
    <row r="220">
      <c r="A220" s="2" t="inlineStr"/>
      <c r="B220" s="20" t="n"/>
      <c r="C220" s="20" t="n"/>
      <c r="D220" s="20" t="n"/>
      <c r="E220" s="20" t="n"/>
      <c r="F220" s="20" t="n"/>
      <c r="G220" s="20" t="n"/>
      <c r="H220" s="21" t="n"/>
    </row>
    <row r="221">
      <c r="A221" s="2" t="inlineStr">
        <is>
          <t>💡 格式選擇建議：</t>
        </is>
      </c>
      <c r="B221" s="20" t="n"/>
      <c r="C221" s="20" t="n"/>
      <c r="D221" s="20" t="n"/>
      <c r="E221" s="20" t="n"/>
      <c r="F221" s="20" t="n"/>
      <c r="G221" s="20" t="n"/>
      <c r="H221" s="21" t="n"/>
    </row>
    <row r="222">
      <c r="A222" s="2" t="inlineStr">
        <is>
          <t>• 第一次溫習新課題 → 用①事實描述，先搞清楚基本事實</t>
        </is>
      </c>
      <c r="B222" s="20" t="n"/>
      <c r="C222" s="20" t="n"/>
      <c r="D222" s="20" t="n"/>
      <c r="E222" s="20" t="n"/>
      <c r="F222" s="20" t="n"/>
      <c r="G222" s="20" t="n"/>
      <c r="H222" s="21" t="n"/>
    </row>
    <row r="223">
      <c r="A223" s="2" t="inlineStr">
        <is>
          <t>• 溫習後想深入理解 → 用②原因過程影響，分析因果關係</t>
        </is>
      </c>
      <c r="B223" s="20" t="n"/>
      <c r="C223" s="20" t="n"/>
      <c r="D223" s="20" t="n"/>
      <c r="E223" s="20" t="n"/>
      <c r="F223" s="20" t="n"/>
      <c r="G223" s="20" t="n"/>
      <c r="H223" s="21" t="n"/>
    </row>
    <row r="224">
      <c r="A224" s="2" t="inlineStr">
        <is>
          <t>• 準備DSE論述題 → 用③PEEL結構，練習答題框架</t>
        </is>
      </c>
      <c r="B224" s="20" t="n"/>
      <c r="C224" s="20" t="n"/>
      <c r="D224" s="20" t="n"/>
      <c r="E224" s="20" t="n"/>
      <c r="F224" s="20" t="n"/>
      <c r="G224" s="20" t="n"/>
      <c r="H224" s="21" t="n"/>
    </row>
    <row r="225">
      <c r="A225" s="2" t="inlineStr">
        <is>
          <t>• 重點/高頻課題 → 用④混合型，一次過搞掂所有角度</t>
        </is>
      </c>
      <c r="B225" s="20" t="n"/>
      <c r="C225" s="20" t="n"/>
      <c r="D225" s="20" t="n"/>
      <c r="E225" s="20" t="n"/>
      <c r="F225" s="20" t="n"/>
      <c r="G225" s="20" t="n"/>
      <c r="H225" s="21" t="n"/>
    </row>
    <row r="226">
      <c r="A226" s="2" t="inlineStr">
        <is>
          <t>• 時間不夠 → 用①快速記錄，之後再補②③</t>
        </is>
      </c>
      <c r="B226" s="20" t="n"/>
      <c r="C226" s="20" t="n"/>
      <c r="D226" s="20" t="n"/>
      <c r="E226" s="20" t="n"/>
      <c r="F226" s="20" t="n"/>
      <c r="G226" s="20" t="n"/>
      <c r="H226" s="21" t="n"/>
    </row>
  </sheetData>
  <mergeCells count="265">
    <mergeCell ref="G21:H21"/>
    <mergeCell ref="B106:F106"/>
    <mergeCell ref="B129:F129"/>
    <mergeCell ref="B200:F200"/>
    <mergeCell ref="B16:F16"/>
    <mergeCell ref="B81:F81"/>
    <mergeCell ref="B194:F194"/>
    <mergeCell ref="B209:F209"/>
    <mergeCell ref="B25:F25"/>
    <mergeCell ref="B90:F90"/>
    <mergeCell ref="B6"/>
    <mergeCell ref="A222:H222"/>
    <mergeCell ref="B122:F122"/>
    <mergeCell ref="G145:H145"/>
    <mergeCell ref="B71:F71"/>
    <mergeCell ref="B184:F184"/>
    <mergeCell ref="B131:F131"/>
    <mergeCell ref="B18:F18"/>
    <mergeCell ref="B27:F27"/>
    <mergeCell ref="B58:F58"/>
    <mergeCell ref="B52:F52"/>
    <mergeCell ref="B180:F180"/>
    <mergeCell ref="B4"/>
    <mergeCell ref="B195:F195"/>
    <mergeCell ref="B11:F11"/>
    <mergeCell ref="B42:F42"/>
    <mergeCell ref="B60:F60"/>
    <mergeCell ref="G128:H128"/>
    <mergeCell ref="B170:F170"/>
    <mergeCell ref="B179:F179"/>
    <mergeCell ref="B157:F157"/>
    <mergeCell ref="B44:F44"/>
    <mergeCell ref="B53:F53"/>
    <mergeCell ref="G121:H121"/>
    <mergeCell ref="A3:H3"/>
    <mergeCell ref="B166:F166"/>
    <mergeCell ref="B116:F116"/>
    <mergeCell ref="B172:F172"/>
    <mergeCell ref="B28:F28"/>
    <mergeCell ref="G108:H108"/>
    <mergeCell ref="B37:F37"/>
    <mergeCell ref="B174:F174"/>
    <mergeCell ref="B108:F108"/>
    <mergeCell ref="G114:H114"/>
    <mergeCell ref="B168:F168"/>
    <mergeCell ref="B186:F186"/>
    <mergeCell ref="G123:H123"/>
    <mergeCell ref="B84:F84"/>
    <mergeCell ref="A150:H150"/>
    <mergeCell ref="G110:H110"/>
    <mergeCell ref="B118:F118"/>
    <mergeCell ref="B92:F92"/>
    <mergeCell ref="A97:H97"/>
    <mergeCell ref="B30:F30"/>
    <mergeCell ref="B143:F143"/>
    <mergeCell ref="B158:F158"/>
    <mergeCell ref="G20:H20"/>
    <mergeCell ref="G113:H113"/>
    <mergeCell ref="A224:H224"/>
    <mergeCell ref="B20:F20"/>
    <mergeCell ref="B15:F15"/>
    <mergeCell ref="A96:H96"/>
    <mergeCell ref="B133:F133"/>
    <mergeCell ref="B142:F142"/>
    <mergeCell ref="B80:F80"/>
    <mergeCell ref="E99:H99"/>
    <mergeCell ref="B160:F160"/>
    <mergeCell ref="G22:H22"/>
    <mergeCell ref="B135:F135"/>
    <mergeCell ref="G59:H59"/>
    <mergeCell ref="B144:F144"/>
    <mergeCell ref="G12:H12"/>
    <mergeCell ref="E101:H101"/>
    <mergeCell ref="B54:F54"/>
    <mergeCell ref="G117:H117"/>
    <mergeCell ref="B125:F125"/>
    <mergeCell ref="A226:H226"/>
    <mergeCell ref="B72:F72"/>
    <mergeCell ref="B185:F185"/>
    <mergeCell ref="B134:F134"/>
    <mergeCell ref="B199:F199"/>
    <mergeCell ref="E100:H100"/>
    <mergeCell ref="B208:F208"/>
    <mergeCell ref="B121:F121"/>
    <mergeCell ref="G61:H61"/>
    <mergeCell ref="B5"/>
    <mergeCell ref="B56:F56"/>
    <mergeCell ref="B167:F167"/>
    <mergeCell ref="B70:F70"/>
    <mergeCell ref="B105:F105"/>
    <mergeCell ref="B43:F43"/>
    <mergeCell ref="B176:F176"/>
    <mergeCell ref="E102:H102"/>
    <mergeCell ref="B210:F210"/>
    <mergeCell ref="A7:H7"/>
    <mergeCell ref="B99:D99"/>
    <mergeCell ref="B111:F111"/>
    <mergeCell ref="B120:F120"/>
    <mergeCell ref="A221:H221"/>
    <mergeCell ref="B107:F107"/>
    <mergeCell ref="B17:F17"/>
    <mergeCell ref="G162:H162"/>
    <mergeCell ref="B57:F57"/>
    <mergeCell ref="B88:F88"/>
    <mergeCell ref="A149:H149"/>
    <mergeCell ref="B82:F82"/>
    <mergeCell ref="B175:F175"/>
    <mergeCell ref="B162:F162"/>
    <mergeCell ref="A214:H214"/>
    <mergeCell ref="A223:H223"/>
    <mergeCell ref="B171:F171"/>
    <mergeCell ref="G24:H24"/>
    <mergeCell ref="B19:F19"/>
    <mergeCell ref="B146:F146"/>
    <mergeCell ref="B100:D100"/>
    <mergeCell ref="B197:F197"/>
    <mergeCell ref="G26:H26"/>
    <mergeCell ref="B74:F74"/>
    <mergeCell ref="B187:F187"/>
    <mergeCell ref="B68:F68"/>
    <mergeCell ref="B83:F83"/>
    <mergeCell ref="A215:H215"/>
    <mergeCell ref="G129:H129"/>
    <mergeCell ref="B102:D102"/>
    <mergeCell ref="B124:F124"/>
    <mergeCell ref="G25:H25"/>
    <mergeCell ref="B207:F207"/>
    <mergeCell ref="B76:F76"/>
    <mergeCell ref="D5:H5"/>
    <mergeCell ref="B45:F45"/>
    <mergeCell ref="B189:F189"/>
    <mergeCell ref="B85:F85"/>
    <mergeCell ref="B198:F198"/>
    <mergeCell ref="B204:F204"/>
    <mergeCell ref="B173:F173"/>
    <mergeCell ref="B188:F188"/>
    <mergeCell ref="B126:F126"/>
    <mergeCell ref="B75:F75"/>
    <mergeCell ref="B109:F109"/>
    <mergeCell ref="B47:F47"/>
    <mergeCell ref="B62:F62"/>
    <mergeCell ref="G115:H115"/>
    <mergeCell ref="B141:F141"/>
    <mergeCell ref="G11:H11"/>
    <mergeCell ref="B59:F59"/>
    <mergeCell ref="B193:F193"/>
    <mergeCell ref="B190:F190"/>
    <mergeCell ref="B31:F31"/>
    <mergeCell ref="B46:F46"/>
    <mergeCell ref="B159:F159"/>
    <mergeCell ref="B202:F202"/>
    <mergeCell ref="A225:H225"/>
    <mergeCell ref="G211:H211"/>
    <mergeCell ref="G126:H126"/>
    <mergeCell ref="B21:F21"/>
    <mergeCell ref="B39:F39"/>
    <mergeCell ref="B152:F152"/>
    <mergeCell ref="B48:F48"/>
    <mergeCell ref="B161:F161"/>
    <mergeCell ref="G116:H116"/>
    <mergeCell ref="B136:F136"/>
    <mergeCell ref="B23:F23"/>
    <mergeCell ref="B145:F145"/>
    <mergeCell ref="A217:H217"/>
    <mergeCell ref="B181:F181"/>
    <mergeCell ref="B13:F13"/>
    <mergeCell ref="G118:H118"/>
    <mergeCell ref="G167:H167"/>
    <mergeCell ref="B73:F73"/>
    <mergeCell ref="B191:F191"/>
    <mergeCell ref="B87:F87"/>
    <mergeCell ref="B178:F178"/>
    <mergeCell ref="B128:F128"/>
    <mergeCell ref="B137:F137"/>
    <mergeCell ref="B183:F183"/>
    <mergeCell ref="B65:F65"/>
    <mergeCell ref="G73:H73"/>
    <mergeCell ref="G51:H51"/>
    <mergeCell ref="B192:F192"/>
    <mergeCell ref="A35:H35"/>
    <mergeCell ref="B164:F164"/>
    <mergeCell ref="B139:F139"/>
    <mergeCell ref="B201:F201"/>
    <mergeCell ref="A10:H10"/>
    <mergeCell ref="G41:H41"/>
    <mergeCell ref="B114:F114"/>
    <mergeCell ref="B63:F63"/>
    <mergeCell ref="G106:H106"/>
    <mergeCell ref="B123:F123"/>
    <mergeCell ref="B154:F154"/>
    <mergeCell ref="B206:F206"/>
    <mergeCell ref="B50:F50"/>
    <mergeCell ref="B163:F163"/>
    <mergeCell ref="B110:F110"/>
    <mergeCell ref="B203:F203"/>
    <mergeCell ref="A9:H9"/>
    <mergeCell ref="B138:F138"/>
    <mergeCell ref="B113:F113"/>
    <mergeCell ref="G43:H43"/>
    <mergeCell ref="B91:F91"/>
    <mergeCell ref="B156:F156"/>
    <mergeCell ref="B101:D101"/>
    <mergeCell ref="B165:F165"/>
    <mergeCell ref="G27:H27"/>
    <mergeCell ref="B66:F66"/>
    <mergeCell ref="G120:H120"/>
    <mergeCell ref="A36:H36"/>
    <mergeCell ref="B140:F140"/>
    <mergeCell ref="B22:F22"/>
    <mergeCell ref="A1:H1"/>
    <mergeCell ref="B93:F93"/>
    <mergeCell ref="B115:F115"/>
    <mergeCell ref="B155:F155"/>
    <mergeCell ref="A216:H216"/>
    <mergeCell ref="B130:F130"/>
    <mergeCell ref="B12:F12"/>
    <mergeCell ref="B77:F77"/>
    <mergeCell ref="D6:H6"/>
    <mergeCell ref="B86:F86"/>
    <mergeCell ref="B117:F117"/>
    <mergeCell ref="A218:H218"/>
    <mergeCell ref="B151:F151"/>
    <mergeCell ref="G19:H19"/>
    <mergeCell ref="B67:F67"/>
    <mergeCell ref="G146:H146"/>
    <mergeCell ref="B61:F61"/>
    <mergeCell ref="G93:H93"/>
    <mergeCell ref="B132:F132"/>
    <mergeCell ref="B14:F14"/>
    <mergeCell ref="B119:F119"/>
    <mergeCell ref="G196:H196"/>
    <mergeCell ref="B29:F29"/>
    <mergeCell ref="B69:F69"/>
    <mergeCell ref="B182:F182"/>
    <mergeCell ref="B38:F38"/>
    <mergeCell ref="B196:F196"/>
    <mergeCell ref="B78:F78"/>
    <mergeCell ref="B112:F112"/>
    <mergeCell ref="G124:H124"/>
    <mergeCell ref="B205:F205"/>
    <mergeCell ref="G14:H14"/>
    <mergeCell ref="A219:H219"/>
    <mergeCell ref="D4:H4"/>
    <mergeCell ref="B127:F127"/>
    <mergeCell ref="B40:F40"/>
    <mergeCell ref="B211:F211"/>
    <mergeCell ref="A220:H220"/>
    <mergeCell ref="B49:F49"/>
    <mergeCell ref="G29:H29"/>
    <mergeCell ref="G55:H55"/>
    <mergeCell ref="B55:F55"/>
    <mergeCell ref="B24:F24"/>
    <mergeCell ref="G47:H47"/>
    <mergeCell ref="B64:F64"/>
    <mergeCell ref="B177:F177"/>
    <mergeCell ref="B89:F89"/>
    <mergeCell ref="B169:F169"/>
    <mergeCell ref="B51:F51"/>
    <mergeCell ref="B79:F79"/>
    <mergeCell ref="G159:H159"/>
    <mergeCell ref="B32:F32"/>
    <mergeCell ref="G111:H111"/>
    <mergeCell ref="B26:F26"/>
    <mergeCell ref="B41:F41"/>
    <mergeCell ref="B153:F153"/>
  </mergeCells>
  <dataValidations count="2">
    <dataValidation sqref="B4" showDropDown="0" showInputMessage="0" showErrorMessage="0" allowBlank="1" error="請選擇科目" type="list">
      <formula1>"中史,世史,C&amp;SD"</formula1>
    </dataValidation>
    <dataValidation sqref="D6" showDropDown="0" showInputMessage="0" showErrorMessage="0" allowBlank="1" error="請選擇筆記格式" type="list">
      <formula1>"①事實描述,②事件人物-原因過程影響,③DSE PEEL結構,④混合型"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0" customWidth="1" min="3" max="3"/>
    <col width="22" customWidth="1" min="4" max="4"/>
    <col width="10" customWidth="1" min="5" max="5"/>
    <col width="14" customWidth="1" min="6" max="6"/>
    <col width="10" customWidth="1" min="7" max="7"/>
    <col width="30" customWidth="1" min="8" max="8"/>
    <col width="35" customWidth="1" min="9" max="9"/>
    <col width="10" customWidth="1" min="10" max="10"/>
    <col width="20" customWidth="1" min="11" max="11"/>
  </cols>
  <sheetData>
    <row r="1">
      <c r="A1" s="9" t="inlineStr">
        <is>
          <t>課題</t>
        </is>
      </c>
      <c r="B1" s="9" t="inlineStr">
        <is>
          <t>子課題</t>
        </is>
      </c>
      <c r="C1" s="9" t="inlineStr">
        <is>
          <t>筆記重點</t>
        </is>
      </c>
      <c r="D1" s="9" t="inlineStr">
        <is>
          <t>關鍵詞/人名/年份</t>
        </is>
      </c>
      <c r="E1" s="9" t="inlineStr">
        <is>
          <t>DSE出現</t>
        </is>
      </c>
      <c r="F1" s="9" t="inlineStr">
        <is>
          <t>DSE題型</t>
        </is>
      </c>
      <c r="G1" s="9" t="inlineStr">
        <is>
          <t>DSE年份</t>
        </is>
      </c>
      <c r="H1" s="9" t="inlineStr">
        <is>
          <t>自測題目</t>
        </is>
      </c>
      <c r="I1" s="9" t="inlineStr">
        <is>
          <t>自測答案</t>
        </is>
      </c>
      <c r="J1" s="9" t="inlineStr">
        <is>
          <t>熟練度</t>
        </is>
      </c>
      <c r="K1" s="9" t="inlineStr">
        <is>
          <t>備註</t>
        </is>
      </c>
    </row>
    <row r="2">
      <c r="A2" s="2" t="inlineStr">
        <is>
          <t>秦朝</t>
        </is>
      </c>
      <c r="B2" s="2" t="inlineStr">
        <is>
          <t>統一措施</t>
        </is>
      </c>
      <c r="C2" s="2" t="inlineStr">
        <is>
          <t>統一文字（小篆）、貨幣（半兩錢）、度量衡、車軌；修長城、築馳道、設郡縣制</t>
        </is>
      </c>
      <c r="D2" s="2" t="inlineStr">
        <is>
          <t>秦始皇/小篆/半兩錢/郡縣制</t>
        </is>
      </c>
      <c r="E2" s="2" t="inlineStr">
        <is>
          <t>是</t>
        </is>
      </c>
      <c r="F2" s="2" t="inlineStr">
        <is>
          <t>DBQ/論述</t>
        </is>
      </c>
      <c r="G2" s="2" t="inlineStr">
        <is>
          <t>2021</t>
        </is>
      </c>
      <c r="H2" s="2" t="inlineStr">
        <is>
          <t>秦始皇統一措施有哪些？對後世有何影響？</t>
        </is>
      </c>
      <c r="I2" s="2" t="inlineStr">
        <is>
          <t>統一文字貨幣度量衡車軌，影響：促進經濟文化交流，加強中央集權</t>
        </is>
      </c>
      <c r="J2" s="2" t="n">
        <v>2</v>
      </c>
      <c r="K2" s="2" t="inlineStr"/>
    </row>
    <row r="3">
      <c r="A3" s="2" t="inlineStr">
        <is>
          <t>漢朝</t>
        </is>
      </c>
      <c r="B3" s="2" t="inlineStr">
        <is>
          <t>漢武帝施政</t>
        </is>
      </c>
      <c r="C3" s="2" t="inlineStr">
        <is>
          <t>罷黜百家獨尊儒術、設太學、推行推恩令削弱諸侯、鹽鐵官營、均輸平準</t>
        </is>
      </c>
      <c r="D3" s="2" t="inlineStr">
        <is>
          <t>董仲舒/太學/推恩令/鹽鐵官營</t>
        </is>
      </c>
      <c r="E3" s="2" t="inlineStr">
        <is>
          <t>是</t>
        </is>
      </c>
      <c r="F3" s="2" t="inlineStr">
        <is>
          <t>MC/短答</t>
        </is>
      </c>
      <c r="G3" s="2" t="inlineStr">
        <is>
          <t>2022</t>
        </is>
      </c>
      <c r="H3" s="2" t="inlineStr">
        <is>
          <t>漢武帝如何加強中央集權？</t>
        </is>
      </c>
      <c r="I3" s="2" t="inlineStr">
        <is>
          <t>思想上獨尊儒術、政治上推恩令削藩、經濟上鹽鐵官營</t>
        </is>
      </c>
      <c r="J3" s="2" t="n">
        <v>1</v>
      </c>
      <c r="K3" s="2" t="inlineStr"/>
    </row>
    <row r="4">
      <c r="A4" s="2" t="inlineStr">
        <is>
          <t>唐朝</t>
        </is>
      </c>
      <c r="B4" s="2" t="inlineStr">
        <is>
          <t>安史之亂</t>
        </is>
      </c>
      <c r="C4" s="2" t="inlineStr">
        <is>
          <t>安祿山以討楊國忠為名起兵、洛陽長安相繼失守、郭子儀平亂、藩鎮割據局面形成</t>
        </is>
      </c>
      <c r="D4" s="2" t="inlineStr">
        <is>
          <t>安祿山/楊國忠/郭子儀/藩鎮</t>
        </is>
      </c>
      <c r="E4" s="2" t="inlineStr">
        <is>
          <t>否</t>
        </is>
      </c>
      <c r="F4" s="2" t="inlineStr"/>
      <c r="G4" s="2" t="inlineStr"/>
      <c r="H4" s="2" t="inlineStr">
        <is>
          <t>安史之亂的成因是什麼？</t>
        </is>
      </c>
      <c r="I4" s="2" t="inlineStr">
        <is>
          <t>節度使權力過大、朝廷腐敗、楊國忠專權</t>
        </is>
      </c>
      <c r="J4" s="2" t="n">
        <v>3</v>
      </c>
      <c r="K4" s="2" t="inlineStr"/>
    </row>
  </sheetData>
  <dataValidations count="2">
    <dataValidation sqref="E2:E200" showDropDown="0" showInputMessage="0" showErrorMessage="0" allowBlank="1" errorTitle="無效輸入" error="請從列表中選擇" type="list">
      <formula1>"是,否"</formula1>
    </dataValidation>
    <dataValidation sqref="J2:J200" showDropDown="0" showInputMessage="0" showErrorMessage="0" allowBlank="1" errorTitle="無效輸入" error="請從列表中選擇" type="list">
      <formula1>"1,2,3,4,5"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0" customWidth="1" min="3" max="3"/>
    <col width="22" customWidth="1" min="4" max="4"/>
    <col width="10" customWidth="1" min="5" max="5"/>
    <col width="14" customWidth="1" min="6" max="6"/>
    <col width="10" customWidth="1" min="7" max="7"/>
    <col width="30" customWidth="1" min="8" max="8"/>
    <col width="35" customWidth="1" min="9" max="9"/>
    <col width="10" customWidth="1" min="10" max="10"/>
    <col width="20" customWidth="1" min="11" max="11"/>
  </cols>
  <sheetData>
    <row r="1">
      <c r="A1" s="9" t="inlineStr">
        <is>
          <t>課題</t>
        </is>
      </c>
      <c r="B1" s="9" t="inlineStr">
        <is>
          <t>子課題</t>
        </is>
      </c>
      <c r="C1" s="9" t="inlineStr">
        <is>
          <t>筆記重點</t>
        </is>
      </c>
      <c r="D1" s="9" t="inlineStr">
        <is>
          <t>關鍵詞/人名/年份</t>
        </is>
      </c>
      <c r="E1" s="9" t="inlineStr">
        <is>
          <t>DSE出現</t>
        </is>
      </c>
      <c r="F1" s="9" t="inlineStr">
        <is>
          <t>DSE題型</t>
        </is>
      </c>
      <c r="G1" s="9" t="inlineStr">
        <is>
          <t>DSE年份</t>
        </is>
      </c>
      <c r="H1" s="9" t="inlineStr">
        <is>
          <t>自測題目</t>
        </is>
      </c>
      <c r="I1" s="9" t="inlineStr">
        <is>
          <t>自測答案</t>
        </is>
      </c>
      <c r="J1" s="9" t="inlineStr">
        <is>
          <t>熟練度</t>
        </is>
      </c>
      <c r="K1" s="9" t="inlineStr">
        <is>
          <t>備註</t>
        </is>
      </c>
    </row>
    <row r="2">
      <c r="A2" s="2" t="inlineStr">
        <is>
          <t>第一次世界大戰</t>
        </is>
      </c>
      <c r="B2" s="2" t="inlineStr">
        <is>
          <t>戰爭起因</t>
        </is>
      </c>
      <c r="C2" s="2" t="inlineStr">
        <is>
          <t>極端民族主義、殖民競爭、軍備競賽、同盟制度（三國同盟vs三國協約）、塞拉耶佛事件為導火線</t>
        </is>
      </c>
      <c r="D2" s="2" t="inlineStr">
        <is>
          <t>同盟國/協約國/塞拉耶佛事件/極端民族主義</t>
        </is>
      </c>
      <c r="E2" s="2" t="inlineStr">
        <is>
          <t>是</t>
        </is>
      </c>
      <c r="F2" s="2" t="inlineStr">
        <is>
          <t>DBQ/論述</t>
        </is>
      </c>
      <c r="G2" s="2" t="inlineStr">
        <is>
          <t>2023</t>
        </is>
      </c>
      <c r="H2" s="2" t="inlineStr">
        <is>
          <t>一戰的主因是什麼？哪個因素最關鍵？</t>
        </is>
      </c>
      <c r="I2" s="2" t="inlineStr">
        <is>
          <t>主因包括民族主義、軍備競賽、同盟制度；最關鍵是極端民族主義</t>
        </is>
      </c>
      <c r="J2" s="2" t="n">
        <v>1</v>
      </c>
      <c r="K2" s="2" t="inlineStr"/>
    </row>
    <row r="3">
      <c r="A3" s="2" t="inlineStr">
        <is>
          <t>第二次世界大戰</t>
        </is>
      </c>
      <c r="B3" s="2" t="inlineStr">
        <is>
          <t>綏靖政策</t>
        </is>
      </c>
      <c r="C3" s="2" t="inlineStr">
        <is>
          <t>張伯倫的綏靖政策：慕尼黑協定（1938）容許德國吞併蘇台德區、希特勒繼續擴張入侵捷克</t>
        </is>
      </c>
      <c r="D3" s="2" t="inlineStr">
        <is>
          <t>張伯倫/慕尼黑協定/希特勒/蘇台德區</t>
        </is>
      </c>
      <c r="E3" s="2" t="inlineStr">
        <is>
          <t>是</t>
        </is>
      </c>
      <c r="F3" s="2" t="inlineStr">
        <is>
          <t>DBQ/短答</t>
        </is>
      </c>
      <c r="G3" s="2" t="inlineStr">
        <is>
          <t>2022</t>
        </is>
      </c>
      <c r="H3" s="2" t="inlineStr">
        <is>
          <t>綏靖政策是否導致二戰爆發的主因？</t>
        </is>
      </c>
      <c r="I3" s="2" t="inlineStr">
        <is>
          <t>綏靖政策鼓勵了希特勒的擴張，但非唯一原因；凡爾賽條約的苛刻也是因素</t>
        </is>
      </c>
      <c r="J3" s="2" t="n">
        <v>2</v>
      </c>
      <c r="K3" s="2" t="inlineStr"/>
    </row>
    <row r="4">
      <c r="A4" s="2" t="inlineStr">
        <is>
          <t>冷戰</t>
        </is>
      </c>
      <c r="B4" s="2" t="inlineStr">
        <is>
          <t>古巴導彈危機</t>
        </is>
      </c>
      <c r="C4" s="2" t="inlineStr">
        <is>
          <t>1962年蘇聯在古巴部署導彈、肯尼迪實施海上封鎖、13天對峙後蘇聯撤走導彈、美國承諾不入侵古巴</t>
        </is>
      </c>
      <c r="D4" s="2" t="inlineStr">
        <is>
          <t>肯尼迪/赫魯曉夫/古巴/海上封鎖</t>
        </is>
      </c>
      <c r="E4" s="2" t="inlineStr">
        <is>
          <t>否</t>
        </is>
      </c>
      <c r="F4" s="2" t="inlineStr"/>
      <c r="G4" s="2" t="inlineStr"/>
      <c r="H4" s="2" t="inlineStr">
        <is>
          <t>古巴導彈危機如何影響美蘇關係？</t>
        </is>
      </c>
      <c r="I4" s="2" t="inlineStr">
        <is>
          <t>危機後雙方意識到核戰危險，推動軍備控制談判，關係短暫緩和</t>
        </is>
      </c>
      <c r="J4" s="2" t="n">
        <v>3</v>
      </c>
      <c r="K4" s="2" t="inlineStr"/>
    </row>
  </sheetData>
  <dataValidations count="2">
    <dataValidation sqref="E2:E200" showDropDown="0" showInputMessage="0" showErrorMessage="0" allowBlank="1" errorTitle="無效輸入" error="請從列表中選擇" type="list">
      <formula1>"是,否"</formula1>
    </dataValidation>
    <dataValidation sqref="J2:J200" showDropDown="0" showInputMessage="0" showErrorMessage="0" allowBlank="1" errorTitle="無效輸入" error="請從列表中選擇" type="list">
      <formula1>"1,2,3,4,5"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0" customWidth="1" min="3" max="3"/>
    <col width="22" customWidth="1" min="4" max="4"/>
    <col width="10" customWidth="1" min="5" max="5"/>
    <col width="14" customWidth="1" min="6" max="6"/>
    <col width="10" customWidth="1" min="7" max="7"/>
    <col width="30" customWidth="1" min="8" max="8"/>
    <col width="35" customWidth="1" min="9" max="9"/>
    <col width="10" customWidth="1" min="10" max="10"/>
    <col width="20" customWidth="1" min="11" max="11"/>
  </cols>
  <sheetData>
    <row r="1">
      <c r="A1" s="9" t="inlineStr">
        <is>
          <t>課題</t>
        </is>
      </c>
      <c r="B1" s="9" t="inlineStr">
        <is>
          <t>概念/議題</t>
        </is>
      </c>
      <c r="C1" s="9" t="inlineStr">
        <is>
          <t>筆記重點</t>
        </is>
      </c>
      <c r="D1" s="9" t="inlineStr">
        <is>
          <t>關鍵詞/人名/年份</t>
        </is>
      </c>
      <c r="E1" s="9" t="inlineStr">
        <is>
          <t>DSE出現</t>
        </is>
      </c>
      <c r="F1" s="9" t="inlineStr">
        <is>
          <t>DSE題型</t>
        </is>
      </c>
      <c r="G1" s="9" t="inlineStr">
        <is>
          <t>DSE年份</t>
        </is>
      </c>
      <c r="H1" s="9" t="inlineStr">
        <is>
          <t>自測題目</t>
        </is>
      </c>
      <c r="I1" s="9" t="inlineStr">
        <is>
          <t>自測答案</t>
        </is>
      </c>
      <c r="J1" s="9" t="inlineStr">
        <is>
          <t>熟練度</t>
        </is>
      </c>
      <c r="K1" s="9" t="inlineStr">
        <is>
          <t>備註</t>
        </is>
      </c>
    </row>
    <row r="2">
      <c r="A2" s="2" t="inlineStr">
        <is>
          <t>一國兩制</t>
        </is>
      </c>
      <c r="B2" s="2" t="inlineStr">
        <is>
          <t>一國兩制的內涵</t>
        </is>
      </c>
      <c r="C2" s="2" t="inlineStr">
        <is>
          <t>一國是前提兩制是實踐、《基本法》保障香港高度自治、港人治港、澳人治澳</t>
        </is>
      </c>
      <c r="D2" s="2" t="inlineStr">
        <is>
          <t>基本法/高度自治/港人治港</t>
        </is>
      </c>
      <c r="E2" s="2" t="inlineStr">
        <is>
          <t>是</t>
        </is>
      </c>
      <c r="F2" s="2" t="inlineStr">
        <is>
          <t>短答/DBQ</t>
        </is>
      </c>
      <c r="G2" s="2" t="inlineStr">
        <is>
          <t>2024</t>
        </is>
      </c>
      <c r="H2" s="2" t="inlineStr">
        <is>
          <t>「一國兩制」的核心理念是什麼？</t>
        </is>
      </c>
      <c r="I2" s="2" t="inlineStr">
        <is>
          <t>一國是前提，兩制是實踐；國家主體行社會主義，特區行資本主義</t>
        </is>
      </c>
      <c r="J2" s="2" t="n">
        <v>2</v>
      </c>
      <c r="K2" s="2" t="inlineStr"/>
    </row>
    <row r="3">
      <c r="A3" s="2" t="inlineStr">
        <is>
          <t>國家安全</t>
        </is>
      </c>
      <c r="B3" s="2" t="inlineStr">
        <is>
          <t>國安法與香港</t>
        </is>
      </c>
      <c r="C3" s="2" t="inlineStr">
        <is>
          <t>維護國家安全的重要性、總體國家安全觀涵蓋多個領域、港區國安法保障香港長治久安</t>
        </is>
      </c>
      <c r="D3" s="2" t="inlineStr">
        <is>
          <t>國安法/總體國家安全觀/長治久安</t>
        </is>
      </c>
      <c r="E3" s="2" t="inlineStr">
        <is>
          <t>是</t>
        </is>
      </c>
      <c r="F3" s="2" t="inlineStr">
        <is>
          <t>短答</t>
        </is>
      </c>
      <c r="G3" s="2" t="inlineStr">
        <is>
          <t>2024</t>
        </is>
      </c>
      <c r="H3" s="2" t="inlineStr">
        <is>
          <t>國安法如何體現一國原則？</t>
        </is>
      </c>
      <c r="I3" s="2" t="inlineStr">
        <is>
          <t>國安法針對四類罪行：分裂國家、顛覆政權、恐怖活動、勾結外國勢力，體現國家主權</t>
        </is>
      </c>
      <c r="J3" s="2" t="n">
        <v>1</v>
      </c>
      <c r="K3" s="2" t="inlineStr"/>
    </row>
    <row r="4">
      <c r="A4" s="2" t="inlineStr">
        <is>
          <t>改革開放</t>
        </is>
      </c>
      <c r="B4" s="2" t="inlineStr">
        <is>
          <t>經濟發展</t>
        </is>
      </c>
      <c r="C4" s="2" t="inlineStr">
        <is>
          <t>1978年改革開放政策、設立經濟特區、引入外資和市場機制、GDP大幅增長、人民生活水平提高</t>
        </is>
      </c>
      <c r="D4" s="2" t="inlineStr">
        <is>
          <t>鄧小平/經濟特區/改革開放/市場經濟</t>
        </is>
      </c>
      <c r="E4" s="2" t="inlineStr">
        <is>
          <t>否</t>
        </is>
      </c>
      <c r="F4" s="2" t="inlineStr"/>
      <c r="G4" s="2" t="inlineStr"/>
      <c r="H4" s="2" t="inlineStr">
        <is>
          <t>改革開放對中國經濟有何影響？</t>
        </is>
      </c>
      <c r="I4" s="2" t="inlineStr">
        <is>
          <t>推動市場化改革、吸引外資、GDP高速增長、人民生活水平顯著提升</t>
        </is>
      </c>
      <c r="J4" s="2" t="n">
        <v>3</v>
      </c>
      <c r="K4" s="2" t="inlineStr"/>
    </row>
  </sheetData>
  <dataValidations count="2">
    <dataValidation sqref="E2:E200" showDropDown="0" showInputMessage="0" showErrorMessage="0" allowBlank="1" errorTitle="無效輸入" error="請從列表中選擇" type="list">
      <formula1>"是,否"</formula1>
    </dataValidation>
    <dataValidation sqref="J2:J200" showDropDown="0" showInputMessage="0" showErrorMessage="0" allowBlank="1" errorTitle="無效輸入" error="請從列表中選擇" type="list">
      <formula1>"1,2,3,4,5"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0" customWidth="1" min="5" max="5"/>
    <col width="18" customWidth="1" min="6" max="6"/>
    <col width="12" customWidth="1" min="7" max="7"/>
    <col width="16" customWidth="1" min="8" max="8"/>
    <col width="25" customWidth="1" min="9" max="9"/>
    <col width="22" customWidth="1" min="10" max="10"/>
    <col width="10" customWidth="1" min="11" max="11"/>
    <col width="20" customWidth="1" min="12" max="12"/>
  </cols>
  <sheetData>
    <row r="1">
      <c r="A1" s="10" t="inlineStr">
        <is>
          <t>日期</t>
        </is>
      </c>
      <c r="B1" s="10" t="inlineStr">
        <is>
          <t>操練類型</t>
        </is>
      </c>
      <c r="C1" s="10" t="inlineStr">
        <is>
          <t>DSE卷別</t>
        </is>
      </c>
      <c r="D1" s="10" t="inlineStr">
        <is>
          <t>題目來源</t>
        </is>
      </c>
      <c r="E1" s="10" t="inlineStr">
        <is>
          <t>DSE年份</t>
        </is>
      </c>
      <c r="F1" s="10" t="inlineStr">
        <is>
          <t>題號/題目描述</t>
        </is>
      </c>
      <c r="G1" s="10" t="inlineStr">
        <is>
          <t>得分/滿分</t>
        </is>
      </c>
      <c r="H1" s="10" t="inlineStr">
        <is>
          <t>錯誤類型</t>
        </is>
      </c>
      <c r="I1" s="10" t="inlineStr">
        <is>
          <t>錯誤詳情</t>
        </is>
      </c>
      <c r="J1" s="10" t="inlineStr">
        <is>
          <t>改善行動</t>
        </is>
      </c>
      <c r="K1" s="10" t="inlineStr">
        <is>
          <t>已覆檢</t>
        </is>
      </c>
      <c r="L1" s="10" t="inlineStr">
        <is>
          <t>備註</t>
        </is>
      </c>
    </row>
    <row r="2">
      <c r="A2" s="2" t="inlineStr">
        <is>
          <t>2026/5/20</t>
        </is>
      </c>
      <c r="B2" s="2" t="inlineStr">
        <is>
          <t>Reading</t>
        </is>
      </c>
      <c r="C2" s="2" t="inlineStr">
        <is>
          <t>Paper1</t>
        </is>
      </c>
      <c r="D2" s="2" t="inlineStr">
        <is>
          <t>DSE Past Paper</t>
        </is>
      </c>
      <c r="E2" s="2" t="n">
        <v>2023</v>
      </c>
      <c r="F2" s="2" t="inlineStr">
        <is>
          <t>1A</t>
        </is>
      </c>
      <c r="G2" s="2" t="inlineStr">
        <is>
          <t>5/8</t>
        </is>
      </c>
      <c r="H2" s="2" t="inlineStr">
        <is>
          <t>Comprehension</t>
        </is>
      </c>
      <c r="I2" s="2" t="inlineStr">
        <is>
          <t>推斷題未能從文中找線索</t>
        </is>
      </c>
      <c r="J2" s="2" t="inlineStr">
        <is>
          <t>練習找key words再推斷</t>
        </is>
      </c>
      <c r="K2" s="2" t="inlineStr">
        <is>
          <t>否</t>
        </is>
      </c>
      <c r="L2" s="2" t="inlineStr"/>
    </row>
    <row r="3">
      <c r="A3" s="2" t="inlineStr">
        <is>
          <t>2026/5/22</t>
        </is>
      </c>
      <c r="B3" s="2" t="inlineStr">
        <is>
          <t>Writing</t>
        </is>
      </c>
      <c r="C3" s="2" t="inlineStr">
        <is>
          <t>Paper2</t>
        </is>
      </c>
      <c r="D3" s="2" t="inlineStr">
        <is>
          <t>補習練習</t>
        </is>
      </c>
      <c r="E3" s="2" t="inlineStr"/>
      <c r="F3" s="2" t="inlineStr">
        <is>
          <t>議論文</t>
        </is>
      </c>
      <c r="G3" s="2" t="inlineStr">
        <is>
          <t>60/100</t>
        </is>
      </c>
      <c r="H3" s="2" t="inlineStr">
        <is>
          <t>Organization</t>
        </is>
      </c>
      <c r="I3" s="2" t="inlineStr">
        <is>
          <t>段落之間缺乏過渡</t>
        </is>
      </c>
      <c r="J3" s="2" t="inlineStr">
        <is>
          <t>背誦過渡詞彙</t>
        </is>
      </c>
      <c r="K3" s="2" t="inlineStr">
        <is>
          <t>否</t>
        </is>
      </c>
      <c r="L3" s="2" t="inlineStr"/>
    </row>
  </sheetData>
  <dataValidations count="5">
    <dataValidation sqref="B2:B200" showDropDown="0" showInputMessage="0" showErrorMessage="0" allowBlank="1" errorTitle="無效輸入" error="請從列表中選擇" type="list">
      <formula1>"Reading,Listening,Writing,Speaking,Integrated,Grammar,Vocab"</formula1>
    </dataValidation>
    <dataValidation sqref="C2:C200" showDropDown="0" showInputMessage="0" showErrorMessage="0" allowBlank="1" errorTitle="無效輸入" error="請從列表中選擇" type="list">
      <formula1>"Paper1,Paper2,Paper3,Paper4"</formula1>
    </dataValidation>
    <dataValidation sqref="D2:D200" showDropDown="0" showInputMessage="0" showErrorMessage="0" allowBlank="1" errorTitle="無效輸入" error="請從列表中選擇" type="list">
      <formula1>"DSE Past Paper,學校測驗,補習練習,其他"</formula1>
    </dataValidation>
    <dataValidation sqref="H2:H200" showDropDown="0" showInputMessage="0" showErrorMessage="0" allowBlank="1" errorTitle="無效輸入" error="請從列表中選擇" type="list">
      <formula1>"Vocabulary,Grammar,Comprehension,Spelling,Time Management,Format,Content,Organization"</formula1>
    </dataValidation>
    <dataValidation sqref="K2:K200" showDropDown="0" showInputMessage="0" showErrorMessage="0" allowBlank="1" errorTitle="無效輸入" error="請從列表中選擇" type="list">
      <formula1>"是,否"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0" customWidth="1" min="5" max="5"/>
    <col width="10" customWidth="1" min="6" max="6"/>
    <col width="12" customWidth="1" min="7" max="7"/>
    <col width="8" customWidth="1" min="8" max="8"/>
    <col width="14" customWidth="1" min="9" max="9"/>
    <col width="25" customWidth="1" min="10" max="10"/>
    <col width="28" customWidth="1" min="11" max="11"/>
    <col width="10" customWidth="1" min="12" max="12"/>
    <col width="20" customWidth="1" min="13" max="13"/>
  </cols>
  <sheetData>
    <row r="1">
      <c r="A1" s="10" t="inlineStr">
        <is>
          <t>日期</t>
        </is>
      </c>
      <c r="B1" s="10" t="inlineStr">
        <is>
          <t>課題</t>
        </is>
      </c>
      <c r="C1" s="10" t="inlineStr">
        <is>
          <t>DSE卷別</t>
        </is>
      </c>
      <c r="D1" s="10" t="inlineStr">
        <is>
          <t>題目來源</t>
        </is>
      </c>
      <c r="E1" s="10" t="inlineStr">
        <is>
          <t>DSE年份</t>
        </is>
      </c>
      <c r="F1" s="10" t="inlineStr">
        <is>
          <t>題號</t>
        </is>
      </c>
      <c r="G1" s="10" t="inlineStr">
        <is>
          <t>題型</t>
        </is>
      </c>
      <c r="H1" s="10" t="inlineStr">
        <is>
          <t>做對</t>
        </is>
      </c>
      <c r="I1" s="10" t="inlineStr">
        <is>
          <t>錯誤類型</t>
        </is>
      </c>
      <c r="J1" s="10" t="inlineStr">
        <is>
          <t>錯誤詳情</t>
        </is>
      </c>
      <c r="K1" s="10" t="inlineStr">
        <is>
          <t>正確解法要點</t>
        </is>
      </c>
      <c r="L1" s="10" t="inlineStr">
        <is>
          <t>已覆檢</t>
        </is>
      </c>
      <c r="M1" s="10" t="inlineStr">
        <is>
          <t>備註</t>
        </is>
      </c>
    </row>
    <row r="2">
      <c r="A2" s="2" t="inlineStr">
        <is>
          <t>2026/5/18</t>
        </is>
      </c>
      <c r="B2" s="2" t="inlineStr">
        <is>
          <t>百分比</t>
        </is>
      </c>
      <c r="C2" s="2" t="inlineStr">
        <is>
          <t>Paper2</t>
        </is>
      </c>
      <c r="D2" s="2" t="inlineStr">
        <is>
          <t>DSE Past Paper</t>
        </is>
      </c>
      <c r="E2" s="2" t="n">
        <v>2023</v>
      </c>
      <c r="F2" s="2" t="inlineStr">
        <is>
          <t>Q5</t>
        </is>
      </c>
      <c r="G2" s="2" t="inlineStr">
        <is>
          <t>MC</t>
        </is>
      </c>
      <c r="H2" s="2" t="inlineStr">
        <is>
          <t>否</t>
        </is>
      </c>
      <c r="I2" s="2" t="inlineStr">
        <is>
          <t>概念不清</t>
        </is>
      </c>
      <c r="J2" s="2" t="inlineStr">
        <is>
          <t>混淆折舊與增值的計算</t>
        </is>
      </c>
      <c r="K2" s="2" t="inlineStr">
        <is>
          <t>折舊用乘法遞減，增值用(1+r%)^n</t>
        </is>
      </c>
      <c r="L2" s="2" t="inlineStr">
        <is>
          <t>否</t>
        </is>
      </c>
      <c r="M2" s="2" t="inlineStr"/>
    </row>
    <row r="3">
      <c r="A3" s="2" t="inlineStr">
        <is>
          <t>2026/5/21</t>
        </is>
      </c>
      <c r="B3" s="2" t="inlineStr">
        <is>
          <t>三角學</t>
        </is>
      </c>
      <c r="C3" s="2" t="inlineStr">
        <is>
          <t>Paper1</t>
        </is>
      </c>
      <c r="D3" s="2" t="inlineStr">
        <is>
          <t>補習練習</t>
        </is>
      </c>
      <c r="E3" s="2" t="inlineStr"/>
      <c r="F3" s="2" t="inlineStr">
        <is>
          <t>Q12</t>
        </is>
      </c>
      <c r="G3" s="2" t="inlineStr">
        <is>
          <t>長題目</t>
        </is>
      </c>
      <c r="H3" s="2" t="inlineStr">
        <is>
          <t>是</t>
        </is>
      </c>
      <c r="I3" s="2" t="inlineStr"/>
      <c r="J3" s="2" t="inlineStr"/>
      <c r="K3" s="2" t="inlineStr"/>
      <c r="L3" s="2" t="inlineStr">
        <is>
          <t>否</t>
        </is>
      </c>
      <c r="M3" s="2" t="inlineStr"/>
    </row>
  </sheetData>
  <dataValidations count="7">
    <dataValidation sqref="B2:B200" showDropDown="0" showInputMessage="0" showErrorMessage="0" allowBlank="1" errorTitle="無效輸入" error="請從列表中選擇" type="list">
      <formula1>"百分比,率與比,恆等式,一元一次不等式,三角學,面積與體積,坐標幾何,統計學,概率,其他"</formula1>
    </dataValidation>
    <dataValidation sqref="C2:C200" showDropDown="0" showInputMessage="0" showErrorMessage="0" allowBlank="1" errorTitle="無效輸入" error="請從列表中選擇" type="list">
      <formula1>"Paper1,Paper2"</formula1>
    </dataValidation>
    <dataValidation sqref="D2:D200" showDropDown="0" showInputMessage="0" showErrorMessage="0" allowBlank="1" errorTitle="無效輸入" error="請從列表中選擇" type="list">
      <formula1>"DSE Past Paper,學校測驗,補習練習,教科書,其他"</formula1>
    </dataValidation>
    <dataValidation sqref="G2:G200" showDropDown="0" showInputMessage="0" showErrorMessage="0" allowBlank="1" errorTitle="無效輸入" error="請從列表中選擇" type="list">
      <formula1>"MC,短答,長題目,證明題"</formula1>
    </dataValidation>
    <dataValidation sqref="H2:H200" showDropDown="0" showInputMessage="0" showErrorMessage="0" allowBlank="1" errorTitle="無效輸入" error="請從列表中選擇" type="list">
      <formula1>"是,否"</formula1>
    </dataValidation>
    <dataValidation sqref="I2:I200" showDropDown="0" showInputMessage="0" showErrorMessage="0" allowBlank="1" errorTitle="無效輸入" error="請從列表中選擇" type="list">
      <formula1>"計算錯誤,概念不清,看錯題目,公式記錯,時間不足,步驟遺漏,其他"</formula1>
    </dataValidation>
    <dataValidation sqref="L2:L200" showDropDown="0" showInputMessage="0" showErrorMessage="0" allowBlank="1" errorTitle="無效輸入" error="請從列表中選擇" type="list">
      <formula1>"是,否"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0" customWidth="1" min="5" max="5"/>
    <col width="18" customWidth="1" min="6" max="6"/>
    <col width="12" customWidth="1" min="7" max="7"/>
    <col width="14" customWidth="1" min="8" max="8"/>
    <col width="25" customWidth="1" min="9" max="9"/>
    <col width="22" customWidth="1" min="10" max="10"/>
    <col width="10" customWidth="1" min="11" max="11"/>
    <col width="20" customWidth="1" min="12" max="12"/>
  </cols>
  <sheetData>
    <row r="1">
      <c r="A1" s="10" t="inlineStr">
        <is>
          <t>日期</t>
        </is>
      </c>
      <c r="B1" s="10" t="inlineStr">
        <is>
          <t>操練類型</t>
        </is>
      </c>
      <c r="C1" s="10" t="inlineStr">
        <is>
          <t>DSE卷別</t>
        </is>
      </c>
      <c r="D1" s="10" t="inlineStr">
        <is>
          <t>題目來源</t>
        </is>
      </c>
      <c r="E1" s="10" t="inlineStr">
        <is>
          <t>DSE年份</t>
        </is>
      </c>
      <c r="F1" s="10" t="inlineStr">
        <is>
          <t>題號/題目描述</t>
        </is>
      </c>
      <c r="G1" s="10" t="inlineStr">
        <is>
          <t>得分/滿分</t>
        </is>
      </c>
      <c r="H1" s="10" t="inlineStr">
        <is>
          <t>錯誤類型</t>
        </is>
      </c>
      <c r="I1" s="10" t="inlineStr">
        <is>
          <t>錯誤詳情</t>
        </is>
      </c>
      <c r="J1" s="10" t="inlineStr">
        <is>
          <t>改善行動</t>
        </is>
      </c>
      <c r="K1" s="10" t="inlineStr">
        <is>
          <t>已覆檢</t>
        </is>
      </c>
      <c r="L1" s="10" t="inlineStr">
        <is>
          <t>備註</t>
        </is>
      </c>
    </row>
    <row r="2">
      <c r="A2" s="2" t="inlineStr">
        <is>
          <t>2026/5/19</t>
        </is>
      </c>
      <c r="B2" s="2" t="inlineStr">
        <is>
          <t>閱讀理解</t>
        </is>
      </c>
      <c r="C2" s="2" t="inlineStr">
        <is>
          <t>Paper1</t>
        </is>
      </c>
      <c r="D2" s="2" t="inlineStr">
        <is>
          <t>DSE Past Paper</t>
        </is>
      </c>
      <c r="E2" s="2" t="n">
        <v>2023</v>
      </c>
      <c r="F2" s="2" t="inlineStr">
        <is>
          <t>1.4</t>
        </is>
      </c>
      <c r="G2" s="2" t="inlineStr">
        <is>
          <t>3/6</t>
        </is>
      </c>
      <c r="H2" s="2" t="inlineStr">
        <is>
          <t>理解偏差</t>
        </is>
      </c>
      <c r="I2" s="2" t="inlineStr">
        <is>
          <t>未能準確概括作者情感轉變</t>
        </is>
      </c>
      <c r="J2" s="2" t="inlineStr">
        <is>
          <t>注意文中轉折詞標記情感變化</t>
        </is>
      </c>
      <c r="K2" s="2" t="inlineStr">
        <is>
          <t>否</t>
        </is>
      </c>
      <c r="L2" s="2" t="inlineStr"/>
    </row>
    <row r="3">
      <c r="A3" s="2" t="inlineStr">
        <is>
          <t>2026/5/23</t>
        </is>
      </c>
      <c r="B3" s="2" t="inlineStr">
        <is>
          <t>寫作</t>
        </is>
      </c>
      <c r="C3" s="2" t="inlineStr">
        <is>
          <t>Paper2</t>
        </is>
      </c>
      <c r="D3" s="2" t="inlineStr">
        <is>
          <t>補習練習</t>
        </is>
      </c>
      <c r="E3" s="2" t="inlineStr"/>
      <c r="F3" s="2" t="inlineStr">
        <is>
          <t>記敘文</t>
        </is>
      </c>
      <c r="G3" s="2" t="inlineStr">
        <is>
          <t>55/100</t>
        </is>
      </c>
      <c r="H3" s="2" t="inlineStr">
        <is>
          <t>論證薄弱</t>
        </is>
      </c>
      <c r="I3" s="2" t="inlineStr">
        <is>
          <t>例子不夠具體深入</t>
        </is>
      </c>
      <c r="J3" s="2" t="inlineStr">
        <is>
          <t>每個例子加入細節描寫</t>
        </is>
      </c>
      <c r="K3" s="2" t="inlineStr">
        <is>
          <t>否</t>
        </is>
      </c>
      <c r="L3" s="2" t="inlineStr"/>
    </row>
  </sheetData>
  <dataValidations count="5">
    <dataValidation sqref="B2:B200" showDropDown="0" showInputMessage="0" showErrorMessage="0" allowBlank="1" errorTitle="無效輸入" error="請從列表中選擇" type="list">
      <formula1>"閱讀理解,寫作,文言文,語譯,實用文,綜合,說話,聆聽,其他"</formula1>
    </dataValidation>
    <dataValidation sqref="C2:C200" showDropDown="0" showInputMessage="0" showErrorMessage="0" allowBlank="1" errorTitle="無效輸入" error="請從列表中選擇" type="list">
      <formula1>"Paper1,Paper2,Paper3,Paper4"</formula1>
    </dataValidation>
    <dataValidation sqref="D2:D200" showDropDown="0" showInputMessage="0" showErrorMessage="0" allowBlank="1" errorTitle="無效輸入" error="請從列表中選擇" type="list">
      <formula1>"DSE Past Paper,學校測驗,補習練習,其他"</formula1>
    </dataValidation>
    <dataValidation sqref="H2:H200" showDropDown="0" showInputMessage="0" showErrorMessage="0" allowBlank="1" errorTitle="無效輸入" error="請從列表中選擇" type="list">
      <formula1>"理解偏差,審題錯誤,表達不清,時間不足,格式錯誤,論點不足,論證薄弱,修辭誤判,其他"</formula1>
    </dataValidation>
    <dataValidation sqref="K2:K200" showDropDown="0" showInputMessage="0" showErrorMessage="0" allowBlank="1" errorTitle="無效輸入" error="請從列表中選擇" type="list">
      <formula1>"是,否"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1" t="inlineStr">
        <is>
          <t>科目</t>
        </is>
      </c>
      <c r="B1" s="11" t="inlineStr">
        <is>
          <t>課題</t>
        </is>
      </c>
      <c r="C1" s="11" t="inlineStr">
        <is>
          <t>MC出現次數</t>
        </is>
      </c>
      <c r="D1" s="11" t="inlineStr">
        <is>
          <t>短答出現次數</t>
        </is>
      </c>
      <c r="E1" s="11" t="inlineStr">
        <is>
          <t>DBQ出現次數</t>
        </is>
      </c>
      <c r="F1" s="11" t="inlineStr">
        <is>
          <t>論述出現次數</t>
        </is>
      </c>
      <c r="G1" s="11" t="inlineStr">
        <is>
          <t>總出現次數</t>
        </is>
      </c>
      <c r="H1" s="11" t="inlineStr">
        <is>
          <t>備註</t>
        </is>
      </c>
    </row>
    <row r="2">
      <c r="A2" s="5" t="inlineStr">
        <is>
          <t>中史</t>
        </is>
      </c>
      <c r="B2" s="5" t="inlineStr">
        <is>
          <t>秦朝</t>
        </is>
      </c>
      <c r="C2" s="5" t="n">
        <v>2</v>
      </c>
      <c r="D2" s="5" t="n">
        <v>1</v>
      </c>
      <c r="E2" s="5" t="n">
        <v>3</v>
      </c>
      <c r="F2" s="5" t="n">
        <v>2</v>
      </c>
      <c r="G2" s="5">
        <f>SUM(C2:F2)</f>
        <v/>
      </c>
      <c r="H2" s="5" t="inlineStr">
        <is>
          <t>高頻課題</t>
        </is>
      </c>
    </row>
    <row r="3">
      <c r="A3" s="5" t="inlineStr">
        <is>
          <t>中史</t>
        </is>
      </c>
      <c r="B3" s="5" t="inlineStr">
        <is>
          <t>漢朝</t>
        </is>
      </c>
      <c r="C3" s="5" t="n">
        <v>3</v>
      </c>
      <c r="D3" s="5" t="n">
        <v>2</v>
      </c>
      <c r="E3" s="5" t="n">
        <v>2</v>
      </c>
      <c r="F3" s="5" t="n">
        <v>1</v>
      </c>
      <c r="G3" s="5">
        <f>SUM(C3:F3)</f>
        <v/>
      </c>
      <c r="H3" s="5" t="inlineStr"/>
    </row>
    <row r="4">
      <c r="A4" s="5" t="inlineStr">
        <is>
          <t>中史</t>
        </is>
      </c>
      <c r="B4" s="5" t="inlineStr">
        <is>
          <t>唐朝</t>
        </is>
      </c>
      <c r="C4" s="5" t="n">
        <v>1</v>
      </c>
      <c r="D4" s="5" t="n">
        <v>1</v>
      </c>
      <c r="E4" s="5" t="n">
        <v>1</v>
      </c>
      <c r="F4" s="5" t="n">
        <v>1</v>
      </c>
      <c r="G4" s="5">
        <f>SUM(C4:F4)</f>
        <v/>
      </c>
      <c r="H4" s="5" t="inlineStr"/>
    </row>
    <row r="5">
      <c r="A5" s="5" t="inlineStr">
        <is>
          <t>中史</t>
        </is>
      </c>
      <c r="B5" s="5" t="inlineStr">
        <is>
          <t>宋朝</t>
        </is>
      </c>
      <c r="C5" s="5" t="n">
        <v>1</v>
      </c>
      <c r="D5" s="5" t="n">
        <v>0</v>
      </c>
      <c r="E5" s="5" t="n">
        <v>1</v>
      </c>
      <c r="F5" s="5" t="n">
        <v>0</v>
      </c>
      <c r="G5" s="5">
        <f>SUM(C5:F5)</f>
        <v/>
      </c>
      <c r="H5" s="5" t="inlineStr"/>
    </row>
    <row r="6">
      <c r="A6" s="5" t="inlineStr">
        <is>
          <t>中史</t>
        </is>
      </c>
      <c r="B6" s="5" t="inlineStr">
        <is>
          <t>明清</t>
        </is>
      </c>
      <c r="C6" s="5" t="n">
        <v>2</v>
      </c>
      <c r="D6" s="5" t="n">
        <v>1</v>
      </c>
      <c r="E6" s="5" t="n">
        <v>2</v>
      </c>
      <c r="F6" s="5" t="n">
        <v>2</v>
      </c>
      <c r="G6" s="5">
        <f>SUM(C6:F6)</f>
        <v/>
      </c>
      <c r="H6" s="5" t="inlineStr"/>
    </row>
    <row r="7">
      <c r="A7" s="12" t="inlineStr">
        <is>
          <t>世史</t>
        </is>
      </c>
      <c r="B7" s="12" t="inlineStr">
        <is>
          <t>第一次世界大戰</t>
        </is>
      </c>
      <c r="C7" s="12" t="n">
        <v>1</v>
      </c>
      <c r="D7" s="12" t="n">
        <v>2</v>
      </c>
      <c r="E7" s="12" t="n">
        <v>3</v>
      </c>
      <c r="F7" s="12" t="n">
        <v>3</v>
      </c>
      <c r="G7" s="12">
        <f>SUM(C7:F7)</f>
        <v/>
      </c>
      <c r="H7" s="12" t="inlineStr">
        <is>
          <t>高頻課題</t>
        </is>
      </c>
    </row>
    <row r="8">
      <c r="A8" s="12" t="inlineStr">
        <is>
          <t>世史</t>
        </is>
      </c>
      <c r="B8" s="12" t="inlineStr">
        <is>
          <t>第二次世界大戰</t>
        </is>
      </c>
      <c r="C8" s="12" t="n">
        <v>2</v>
      </c>
      <c r="D8" s="12" t="n">
        <v>2</v>
      </c>
      <c r="E8" s="12" t="n">
        <v>3</v>
      </c>
      <c r="F8" s="12" t="n">
        <v>2</v>
      </c>
      <c r="G8" s="12">
        <f>SUM(C8:F8)</f>
        <v/>
      </c>
      <c r="H8" s="12" t="inlineStr"/>
    </row>
    <row r="9">
      <c r="A9" s="12" t="inlineStr">
        <is>
          <t>世史</t>
        </is>
      </c>
      <c r="B9" s="12" t="inlineStr">
        <is>
          <t>冷戰</t>
        </is>
      </c>
      <c r="C9" s="12" t="n">
        <v>2</v>
      </c>
      <c r="D9" s="12" t="n">
        <v>1</v>
      </c>
      <c r="E9" s="12" t="n">
        <v>3</v>
      </c>
      <c r="F9" s="12" t="n">
        <v>2</v>
      </c>
      <c r="G9" s="12">
        <f>SUM(C9:F9)</f>
        <v/>
      </c>
      <c r="H9" s="12" t="inlineStr"/>
    </row>
    <row r="10">
      <c r="A10" s="12" t="inlineStr">
        <is>
          <t>世史</t>
        </is>
      </c>
      <c r="B10" s="12" t="inlineStr">
        <is>
          <t>國際合作</t>
        </is>
      </c>
      <c r="C10" s="12" t="n">
        <v>1</v>
      </c>
      <c r="D10" s="12" t="n">
        <v>1</v>
      </c>
      <c r="E10" s="12" t="n">
        <v>1</v>
      </c>
      <c r="F10" s="12" t="n">
        <v>1</v>
      </c>
      <c r="G10" s="12">
        <f>SUM(C10:F10)</f>
        <v/>
      </c>
      <c r="H10" s="12" t="inlineStr"/>
    </row>
    <row r="11">
      <c r="A11" s="13" t="inlineStr">
        <is>
          <t>C&amp;SD</t>
        </is>
      </c>
      <c r="B11" s="13" t="inlineStr">
        <is>
          <t>一國兩制</t>
        </is>
      </c>
      <c r="C11" s="13" t="n">
        <v>0</v>
      </c>
      <c r="D11" s="13" t="n">
        <v>3</v>
      </c>
      <c r="E11" s="13" t="n">
        <v>2</v>
      </c>
      <c r="F11" s="13" t="n">
        <v>0</v>
      </c>
      <c r="G11" s="13">
        <f>SUM(C11:F11)</f>
        <v/>
      </c>
      <c r="H11" s="13" t="inlineStr">
        <is>
          <t>高頻課題</t>
        </is>
      </c>
    </row>
    <row r="12">
      <c r="A12" s="13" t="inlineStr">
        <is>
          <t>C&amp;SD</t>
        </is>
      </c>
      <c r="B12" s="13" t="inlineStr">
        <is>
          <t>國家安全</t>
        </is>
      </c>
      <c r="C12" s="13" t="n">
        <v>0</v>
      </c>
      <c r="D12" s="13" t="n">
        <v>2</v>
      </c>
      <c r="E12" s="13" t="n">
        <v>1</v>
      </c>
      <c r="F12" s="13" t="n">
        <v>0</v>
      </c>
      <c r="G12" s="13">
        <f>SUM(C12:F12)</f>
        <v/>
      </c>
      <c r="H12" s="13" t="inlineStr"/>
    </row>
    <row r="13">
      <c r="A13" s="13" t="inlineStr">
        <is>
          <t>C&amp;SD</t>
        </is>
      </c>
      <c r="B13" s="13" t="inlineStr">
        <is>
          <t>改革開放</t>
        </is>
      </c>
      <c r="C13" s="13" t="n">
        <v>0</v>
      </c>
      <c r="D13" s="13" t="n">
        <v>1</v>
      </c>
      <c r="E13" s="13" t="n">
        <v>1</v>
      </c>
      <c r="F13" s="13" t="n">
        <v>0</v>
      </c>
      <c r="G13" s="13">
        <f>SUM(C13:F13)</f>
        <v/>
      </c>
      <c r="H13" s="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18" customWidth="1" min="4" max="4"/>
    <col width="18" customWidth="1" min="5" max="5"/>
    <col width="20" customWidth="1" min="6" max="6"/>
  </cols>
  <sheetData>
    <row r="1">
      <c r="A1" s="14" t="inlineStr">
        <is>
          <t>📤 筆記匯出 — 一鍵匯出 PDF / Word</t>
        </is>
      </c>
      <c r="B1" s="15" t="n"/>
      <c r="C1" s="15" t="n"/>
      <c r="D1" s="15" t="n"/>
      <c r="E1" s="15" t="n"/>
      <c r="F1" s="15" t="n"/>
    </row>
    <row r="3">
      <c r="A3" s="68" t="inlineStr">
        <is>
          <t>⚙️ 匯出設定（先選擇，再按按鈕）</t>
        </is>
      </c>
      <c r="B3" s="17" t="n"/>
      <c r="C3" s="17" t="n"/>
      <c r="D3" s="17" t="n"/>
      <c r="E3" s="17" t="n"/>
      <c r="F3" s="17" t="n"/>
    </row>
    <row r="4">
      <c r="A4" s="69" t="inlineStr">
        <is>
          <t>科目：</t>
        </is>
      </c>
      <c r="B4" s="70" t="inlineStr">
        <is>
          <t>中史</t>
        </is>
      </c>
    </row>
    <row r="5">
      <c r="A5" s="69" t="inlineStr">
        <is>
          <t>格式：</t>
        </is>
      </c>
      <c r="B5" s="70" t="inlineStr">
        <is>
          <t>兩者皆匯出</t>
        </is>
      </c>
    </row>
    <row r="6">
      <c r="A6" s="69" t="inlineStr">
        <is>
          <t>篩選：</t>
        </is>
      </c>
      <c r="B6" s="70" t="inlineStr">
        <is>
          <t>全部</t>
        </is>
      </c>
    </row>
    <row r="8">
      <c r="A8" s="71" t="inlineStr">
        <is>
          <t>⚡ 快速開始（首次使用請先安裝，之後一按即匯出）</t>
        </is>
      </c>
      <c r="B8" s="29" t="n"/>
      <c r="C8" s="29" t="n"/>
      <c r="D8" s="29" t="n"/>
      <c r="E8" s="29" t="n"/>
      <c r="F8" s="29" t="n"/>
    </row>
    <row r="9">
      <c r="A9" s="72" t="inlineStr">
        <is>
          <t>Step 1</t>
        </is>
      </c>
      <c r="B9" s="2" t="inlineStr">
        <is>
          <t>將「DSE筆記系統.xlsx」和「DSE匯出模組.bas」放在同一資料夾</t>
        </is>
      </c>
    </row>
    <row r="10">
      <c r="A10" s="72" t="inlineStr">
        <is>
          <t>Step 2</t>
        </is>
      </c>
      <c r="B10" s="2" t="inlineStr">
        <is>
          <t>用 Microsoft Excel 開啟「DSE筆記系統.xlsx」</t>
        </is>
      </c>
    </row>
    <row r="11">
      <c r="A11" s="72" t="inlineStr">
        <is>
          <t>Step 3</t>
        </is>
      </c>
      <c r="B11" s="2" t="inlineStr">
        <is>
          <t>按鍵盤 Alt + F11（開啟 VBA 編輯器）</t>
        </is>
      </c>
    </row>
    <row r="12">
      <c r="A12" s="72" t="inlineStr">
        <is>
          <t>Step 4</t>
        </is>
      </c>
      <c r="B12" s="2" t="inlineStr">
        <is>
          <t>在 VBA 編輯器：檔案 → 匯入檔案 → 選擇「DSE匯出模組.bas」</t>
        </is>
      </c>
    </row>
    <row r="13">
      <c r="A13" s="72" t="inlineStr">
        <is>
          <t>Step 5</t>
        </is>
      </c>
      <c r="B13" s="2" t="inlineStr">
        <is>
          <t>關閉 VBA 編輯器，返回 Excel</t>
        </is>
      </c>
    </row>
    <row r="14">
      <c r="A14" s="72" t="inlineStr">
        <is>
          <t>Step 6</t>
        </is>
      </c>
      <c r="B14" s="2" t="inlineStr">
        <is>
          <t>將檔案另存為「DSE筆記系統.xlsm」（啟用巨集的活頁簿）</t>
        </is>
      </c>
    </row>
    <row r="15">
      <c r="A15" s="72" t="inlineStr"/>
      <c r="B15" s="2" t="inlineStr"/>
    </row>
    <row r="16">
      <c r="A16" s="72" t="inlineStr">
        <is>
          <t>完成！</t>
        </is>
      </c>
      <c r="B16" s="2" t="inlineStr">
        <is>
          <t>以後只需按 Alt+F8 → 選擇巨集 → 執行，即可匯出</t>
        </is>
      </c>
      <c r="F16" s="73" t="inlineStr">
        <is>
          <t>✅ 只需安裝一次</t>
        </is>
      </c>
    </row>
    <row r="19">
      <c r="A19" s="74" t="inlineStr">
        <is>
          <t>▶️ 安裝後如何使用</t>
        </is>
      </c>
      <c r="B19" s="35" t="n"/>
      <c r="C19" s="35" t="n"/>
      <c r="D19" s="35" t="n"/>
      <c r="E19" s="35" t="n"/>
      <c r="F19" s="35" t="n"/>
    </row>
    <row r="20">
      <c r="A20" s="75" t="inlineStr">
        <is>
          <t>方法一</t>
        </is>
      </c>
      <c r="B20" s="2" t="inlineStr">
        <is>
          <t>按 Alt + F8 → 選「ExportToPDF」或「ExportToWord」→ 按執行</t>
        </is>
      </c>
    </row>
    <row r="21">
      <c r="A21" s="75" t="inlineStr">
        <is>
          <t>方法二</t>
        </is>
      </c>
      <c r="B21" s="2" t="inlineStr">
        <is>
          <t>在上方「自訂快速存取工具列」加入巨集按鈕（一按即匯出）</t>
        </is>
      </c>
    </row>
    <row r="22">
      <c r="A22" s="75" t="inlineStr">
        <is>
          <t>方法三</t>
        </is>
      </c>
      <c r="B22" s="2" t="inlineStr">
        <is>
          <t>在任一工作表插入按鈕 → 指定巨集 → 以後按按鈕即匯出</t>
        </is>
      </c>
    </row>
    <row r="23">
      <c r="A23" s="23" t="inlineStr"/>
      <c r="B23" s="2" t="inlineStr"/>
    </row>
    <row r="24">
      <c r="A24" s="75" t="inlineStr">
        <is>
          <t>匯出 PDF</t>
        </is>
      </c>
      <c r="B24" s="2" t="inlineStr">
        <is>
          <t>不需安裝 Word，Excel 內建即可匯出</t>
        </is>
      </c>
      <c r="F24" s="76" t="inlineStr">
        <is>
          <t>✅ 所有電腦適用</t>
        </is>
      </c>
    </row>
    <row r="25">
      <c r="A25" s="75" t="inlineStr">
        <is>
          <t>匯出 Word</t>
        </is>
      </c>
      <c r="B25" s="2" t="inlineStr">
        <is>
          <t>需要已安裝 Microsoft Word</t>
        </is>
      </c>
      <c r="F25" s="77" t="inlineStr">
        <is>
          <t>⚠️ 需要 Word</t>
        </is>
      </c>
    </row>
    <row r="28">
      <c r="A28" s="78" t="inlineStr">
        <is>
          <t>⚠️ 注意事項</t>
        </is>
      </c>
      <c r="B28" s="47" t="n"/>
      <c r="C28" s="47" t="n"/>
      <c r="D28" s="47" t="n"/>
      <c r="E28" s="47" t="n"/>
      <c r="F28" s="47" t="n"/>
    </row>
    <row r="29">
      <c r="A29" s="79" t="inlineStr">
        <is>
          <t>• 第一次開啟 .xlsm 時，Excel 會顯示「已停用巨集」警告 → 按「啟用內容」</t>
        </is>
      </c>
    </row>
    <row r="30">
      <c r="A30" s="79" t="inlineStr">
        <is>
          <t>• 如果看不到「啟用內容」按鈕 → 檔案 → 選項 → 信任中心 → 信任中心設定 → 巨集設定 → 啟用所有巨集</t>
        </is>
      </c>
    </row>
    <row r="31">
      <c r="A31" s="79" t="inlineStr">
        <is>
          <t>• Mac 用戶：Excel &gt; 偏好設定 &gt; 安全性與隱私權 &gt; 啟用巨集</t>
        </is>
      </c>
    </row>
    <row r="32">
      <c r="A32" s="79" t="inlineStr">
        <is>
          <t>• 匯出的檔案會儲存在此 Excel 檔案相同的資料夾</t>
        </is>
      </c>
    </row>
    <row r="33">
      <c r="A33" s="79" t="inlineStr">
        <is>
          <t>• 如不想安裝 VBA，仍可使用「匯出筆記.py」Python 腳本匯出</t>
        </is>
      </c>
    </row>
  </sheetData>
  <mergeCells count="27">
    <mergeCell ref="B9:E9"/>
    <mergeCell ref="B15:E15"/>
    <mergeCell ref="B24:E24"/>
    <mergeCell ref="B20:E20"/>
    <mergeCell ref="A3:F3"/>
    <mergeCell ref="A33:F33"/>
    <mergeCell ref="A32:F32"/>
    <mergeCell ref="B16:E16"/>
    <mergeCell ref="A8:F8"/>
    <mergeCell ref="B25:E25"/>
    <mergeCell ref="A29:F29"/>
    <mergeCell ref="B22:E22"/>
    <mergeCell ref="A28:F28"/>
    <mergeCell ref="A19:F19"/>
    <mergeCell ref="B12:E12"/>
    <mergeCell ref="B21:E21"/>
    <mergeCell ref="A31:F31"/>
    <mergeCell ref="B11:E11"/>
    <mergeCell ref="A30:F30"/>
    <mergeCell ref="B14:E14"/>
    <mergeCell ref="B6:C6"/>
    <mergeCell ref="B23:E23"/>
    <mergeCell ref="B5:C5"/>
    <mergeCell ref="A1:F1"/>
    <mergeCell ref="B13:E13"/>
    <mergeCell ref="B10:E10"/>
    <mergeCell ref="B4:C4"/>
  </mergeCells>
  <dataValidations count="3">
    <dataValidation sqref="B4" showDropDown="0" showInputMessage="0" showErrorMessage="0" allowBlank="1" type="list">
      <formula1>"中史,世史,C&amp;SD,全部"</formula1>
    </dataValidation>
    <dataValidation sqref="B5" showDropDown="0" showInputMessage="0" showErrorMessage="0" allowBlank="1" type="list">
      <formula1>"Word (.docx),PDF (.pdf),兩者皆匯出"</formula1>
    </dataValidation>
    <dataValidation sqref="B6" showDropDown="0" showInputMessage="0" showErrorMessage="0" allowBlank="1" type="list">
      <formula1>"全部,只匯出DSE曾出現,只匯出熟練度1-2,只匯出熟練度1-3"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2026-05-28T03:41:31Z</dcterms:created>
  <dcterms:modified xmlns:dcterms="http://purl.org/dc/terms/" xmlns:xsi="http://www.w3.org/2001/XMLSchema-instance" xsi:type="dcterms:W3CDTF">2026-05-28T04:32:14Z</dcterms:modified>
</cp:coreProperties>
</file>